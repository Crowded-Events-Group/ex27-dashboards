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rowdedevents.sharepoint.com/Consultancy Projects/2026/2. Belgrade 2027/Readiness/11. Model Zone Exercise/"/>
    </mc:Choice>
  </mc:AlternateContent>
  <xr:revisionPtr revIDLastSave="2" documentId="8_{A8BED85D-0679-4366-929C-1C3E7B6C4ECB}" xr6:coauthVersionLast="47" xr6:coauthVersionMax="47" xr10:uidLastSave="{DCD24F29-5171-49FD-ACFE-4DB8E3456D82}"/>
  <bookViews>
    <workbookView xWindow="3360" yWindow="3720" windowWidth="17280" windowHeight="9960" tabRatio="500" firstSheet="1" activeTab="1" xr2:uid="{00000000-000D-0000-FFFF-FFFF00000000}"/>
  </bookViews>
  <sheets>
    <sheet name="Legend &amp; Guide" sheetId="1" r:id="rId1"/>
    <sheet name="Action Tracker" sheetId="2" r:id="rId2"/>
    <sheet name="Summary" sheetId="4" r:id="rId3"/>
  </sheets>
  <definedNames>
    <definedName name="_xlnm._FilterDatabase" localSheetId="1" hidden="1">'Action Tracker'!$A$5:$I$314</definedName>
    <definedName name="_xlnm.Print_Titles" localSheetId="1">'Action Tracker'!$5:$5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4" l="1"/>
  <c r="C11" i="4"/>
  <c r="D10" i="4"/>
  <c r="C10" i="4"/>
  <c r="D9" i="4"/>
  <c r="C9" i="4"/>
  <c r="D8" i="4"/>
  <c r="C8" i="4"/>
  <c r="F7" i="4" a="1"/>
  <c r="F33" i="4" s="1"/>
  <c r="D7" i="4"/>
  <c r="C7" i="4"/>
  <c r="D12" i="4" l="1"/>
  <c r="C12" i="4"/>
  <c r="F23" i="4"/>
  <c r="F10" i="4"/>
  <c r="F26" i="4"/>
  <c r="F11" i="4"/>
  <c r="F27" i="4"/>
  <c r="F15" i="4"/>
  <c r="F31" i="4"/>
  <c r="F18" i="4"/>
  <c r="F34" i="4"/>
  <c r="F19" i="4"/>
  <c r="F35" i="4"/>
  <c r="F20" i="4"/>
  <c r="F36" i="4"/>
  <c r="F21" i="4"/>
  <c r="F37" i="4"/>
  <c r="F7" i="4"/>
  <c r="F22" i="4"/>
  <c r="F8" i="4"/>
  <c r="F24" i="4"/>
  <c r="F9" i="4"/>
  <c r="F25" i="4"/>
  <c r="F12" i="4"/>
  <c r="F28" i="4"/>
  <c r="F13" i="4"/>
  <c r="F29" i="4"/>
  <c r="F14" i="4"/>
  <c r="F30" i="4"/>
  <c r="F16" i="4"/>
  <c r="F32" i="4"/>
  <c r="F17" i="4"/>
  <c r="G7" i="4" l="1" a="1"/>
  <c r="G33" i="4" s="1"/>
  <c r="G7" i="4" l="1"/>
  <c r="G23" i="4"/>
  <c r="G22" i="4"/>
  <c r="G10" i="4"/>
  <c r="G8" i="4"/>
  <c r="G26" i="4"/>
  <c r="G24" i="4"/>
  <c r="G11" i="4"/>
  <c r="G9" i="4"/>
  <c r="G27" i="4"/>
  <c r="G25" i="4"/>
  <c r="G15" i="4"/>
  <c r="G12" i="4"/>
  <c r="G31" i="4"/>
  <c r="G28" i="4"/>
  <c r="G18" i="4"/>
  <c r="G13" i="4"/>
  <c r="G34" i="4"/>
  <c r="G29" i="4"/>
  <c r="G19" i="4"/>
  <c r="G14" i="4"/>
  <c r="G35" i="4"/>
  <c r="G30" i="4"/>
  <c r="G20" i="4"/>
  <c r="G16" i="4"/>
  <c r="G36" i="4"/>
  <c r="G32" i="4"/>
  <c r="G21" i="4"/>
  <c r="G17" i="4"/>
  <c r="G37" i="4"/>
</calcChain>
</file>

<file path=xl/sharedStrings.xml><?xml version="1.0" encoding="utf-8"?>
<sst xmlns="http://schemas.openxmlformats.org/spreadsheetml/2006/main" count="2316" uniqueCount="1137">
  <si>
    <t>How to use this tracker</t>
  </si>
  <si>
    <t>Purpose</t>
  </si>
  <si>
    <t>One row per touchpoint captured in Session 1. Filter and sort to close items out across Sessions 1-6.</t>
  </si>
  <si>
    <t>Item ID</t>
  </si>
  <si>
    <t>Session number + touchpoint number + observation number (e.g. 1.1.11 = Section 1, Arrival &amp; Car Park, row 11).</t>
  </si>
  <si>
    <t>Covered in Document</t>
  </si>
  <si>
    <t>The governing plan/deliverable that should carry this item - the point of this column. Departments say WHO; this says WHERE it's closed out. Most of these are TBC with PCU and IDR.</t>
  </si>
  <si>
    <t>Action Owner</t>
  </si>
  <si>
    <t>Fill in the named person accountable (blank for now).</t>
  </si>
  <si>
    <t>Update / Notes</t>
  </si>
  <si>
    <t>Running notes / decisions. Italic amber notes flag mapping questions to resolve.</t>
  </si>
  <si>
    <t>Open / Closed</t>
  </si>
  <si>
    <t>Open = needs action (Clarification, Risk, Issue). Confirm existing documentation = Assumption to keep an eye on, may already be closed in existing plans. Closed = Confirmed fact, no action.</t>
  </si>
  <si>
    <t>Status legend</t>
  </si>
  <si>
    <t>Confirmed / Locked</t>
  </si>
  <si>
    <t>Stated as an operating fact or locked procedure in the session.</t>
  </si>
  <si>
    <t>Assumption</t>
  </si>
  <si>
    <t>Stated as a working assumption; plausible but not verified or owned.</t>
  </si>
  <si>
    <t>Needs Further Clarification</t>
  </si>
  <si>
    <t>Open question or TBC; requires an owner and an answer.</t>
  </si>
  <si>
    <t>Risk</t>
  </si>
  <si>
    <t>Identified gap or exposure that could impact visitor experience or operations if unresolved.</t>
  </si>
  <si>
    <t>Issue/Lesson for next sessions</t>
  </si>
  <si>
    <t>Process lesson for how the MZE itself is run.</t>
  </si>
  <si>
    <t>Debunked/New Details</t>
  </si>
  <si>
    <t>Model Zone Exercise</t>
  </si>
  <si>
    <t>Action Tracker  - Expo 2027 Belgrade</t>
  </si>
  <si>
    <t>Facilitator: Ilkin B.  ·  Note takers: Daryl &amp; Teymur</t>
  </si>
  <si>
    <t>Journey Stage</t>
  </si>
  <si>
    <t>Item / Detail</t>
  </si>
  <si>
    <t>Status</t>
  </si>
  <si>
    <t>Responsible Department</t>
  </si>
  <si>
    <t>Covered in Document (Plan/Policy/Procedure/other)</t>
  </si>
  <si>
    <t>1.1.01</t>
  </si>
  <si>
    <t>1. Arrival &amp; Car Park</t>
  </si>
  <si>
    <t>Arrival modes to site: car, bicycle, taxi and public transport (bus, train, boat). 7 public bus lines bring visitors to site; timetables visible on Google Maps and local applications.</t>
  </si>
  <si>
    <t>Transport &amp; Mobility Operations</t>
  </si>
  <si>
    <t>TMO Department Operating Plan</t>
  </si>
  <si>
    <t>Closed</t>
  </si>
  <si>
    <t>1.1.02</t>
  </si>
  <si>
    <t>Confirm bus/train timetable and schedule for the airport-to-site bus service.</t>
  </si>
  <si>
    <t>Open</t>
  </si>
  <si>
    <t>1.1.03</t>
  </si>
  <si>
    <t>Offline information for arriving at site: aggressive TV and city-wide marketing campaign planned, plus physical advertisement at transport hubs.</t>
  </si>
  <si>
    <t>Marketing</t>
  </si>
  <si>
    <t>Marketing &amp; Communications Plan</t>
  </si>
  <si>
    <t>Confirm Existing Documentation</t>
  </si>
  <si>
    <t>1.1.04</t>
  </si>
  <si>
    <t>Confirm with Marketing which pre-arrival visitor-information channels are planned (TV, bus-station displays, physical maps at transport hubs, and any other channels); pull details for follow-up.</t>
  </si>
  <si>
    <t>[MERGED] Absorbed 1.1.06 (confirm pre-arrival marketing channels) - same Session 1 topic. Statement 1.1.03 (planned TV/city campaign + hub adverts) is the item to verify against.</t>
  </si>
  <si>
    <t>1.1.07</t>
  </si>
  <si>
    <t>Airport presence: Tourism Ministry booth in the airport with staff giving information about the event.</t>
  </si>
  <si>
    <t>City &amp; Government Coordination (Expo / Local Authorities coordination team)</t>
  </si>
  <si>
    <t>Exclusion section of the Protocol Department Operating Plan</t>
  </si>
  <si>
    <t>1.1.08</t>
  </si>
  <si>
    <t>Confirm information desk locations/timings; validate volunteer hours (9-22).</t>
  </si>
  <si>
    <t>Guest Services</t>
  </si>
  <si>
    <t>Guest Services Department Operating Plan</t>
  </si>
  <si>
    <t xml:space="preserve">Information Desk Location is confirmed and it is located adjacent to the ticket box office. </t>
  </si>
  <si>
    <t>1.1.09</t>
  </si>
  <si>
    <t>Signage directing visitors to parkings is planned on the way to the site.</t>
  </si>
  <si>
    <t>TMO Department Operating Plan, Zone Operating Plan &amp; Expo Site Operating Plan</t>
  </si>
  <si>
    <t>Status has been changed from confirmed to Needs Further Clarification since no Signage plans has been shared. This action will be closed once information is clarified and provided.</t>
  </si>
  <si>
    <t>1.1.10</t>
  </si>
  <si>
    <t>Confirm car park staff are in position from 09:00. Outer perimeter stewards at site entrance from 09:30.</t>
  </si>
  <si>
    <t>This information has been shared already at session 3 of the Model Zone Exercise and is captured in the TMO Department Operating Plan</t>
  </si>
  <si>
    <t>1.1.11</t>
  </si>
  <si>
    <t>Confirm whether the car park operates 24/7. If so, resolve the unstaffed window before 09:00/09:30 while the car park is open.</t>
  </si>
  <si>
    <t>Status has been changed from Risk to Confirmed / locked because this information has been presented by TMO, and is captured in the TMO Department Operating Plan. Car Parks are currently operating on 24/7 basis. Staff will be in position from 8:30</t>
  </si>
  <si>
    <t>1.1.12</t>
  </si>
  <si>
    <t>Parking is paid. Payment can be made through the local application or with card when leaving the site. Fee based on parking duration, paid on exit (e.g. seven days parked means paying for seven days).</t>
  </si>
  <si>
    <t>Transport &amp; Mobility Operations, Commercial</t>
  </si>
  <si>
    <t>Status has been changed from confirmed / locked to Needs Further Clarification because proposal has been shared by TMO however decision is not taken yet on the exact price. Once Decision is taken, need to understand if policy will be developed to capture this in writing (?)</t>
  </si>
  <si>
    <t>1.1.13</t>
  </si>
  <si>
    <t>Expo ticket does not include parking; parking must be paid separately. Confirm outcome of ongoing discussions on other options (e.g. bundling parking with the ticket).</t>
  </si>
  <si>
    <t>Ticketing / Commercial</t>
  </si>
  <si>
    <t>Ticketing Department Operating Plan</t>
  </si>
  <si>
    <t>Status has been changed from Needs Further Clarification to Confirmed / Locked</t>
  </si>
  <si>
    <t>1.1.14</t>
  </si>
  <si>
    <t>Parking availability visibility: each parking lot will have a digital sign showing available spaces per zone; the application will show available spaces in real time.</t>
  </si>
  <si>
    <t>Status has been changed from confirmed / locked to Needs Further Clarification and will be closed once feasibility and proof of integration between app and real time parking digital signage is provided</t>
  </si>
  <si>
    <t>1.1.15</t>
  </si>
  <si>
    <t>Confirm the parking-full / overflow procedure: traffic marshals and volunteers blocking full lots, plus signage and staff redirecting drivers to alternative parking.</t>
  </si>
  <si>
    <t>TMO Department Operating Plan, TMO Department Policy &amp; Procedure</t>
  </si>
  <si>
    <t>Further clarification needed explaining how and where drivers will be redirected, policy and procedure need to be developed</t>
  </si>
  <si>
    <t>1.1.16</t>
  </si>
  <si>
    <t>Visitors arriving can only enter the parking from Entrance E or C.</t>
  </si>
  <si>
    <t>Security &amp; Crowd Management</t>
  </si>
  <si>
    <t>SEC &amp; CMT Department Operating Plan, Zone Operating Plan, Site Operating Plan, SEC Policy &amp; Procedure</t>
  </si>
  <si>
    <t>Status has been changed from Confirmed / Locked to Needs Clarification and will be closed once policy and procedure is developed on this</t>
  </si>
  <si>
    <t>1.1.17</t>
  </si>
  <si>
    <t>Confirm signage in the parking showing the nearest toilets.</t>
  </si>
  <si>
    <t>Guest Services Department Operating Plan, Zone Operating Plan</t>
  </si>
  <si>
    <t>1.1.18</t>
  </si>
  <si>
    <t>Toilets in the outer perimeter are not operational outside operating hours (09:30 until gates close). Review suggestion raised (Milena) to make some facilities available for early arrivals; discuss further with Cleaning &amp; Waste Management.</t>
  </si>
  <si>
    <t>Cleaning &amp; Waste, Guest Services</t>
  </si>
  <si>
    <t>CAW Department Operating Plan, Guest Services Department Operating Plan</t>
  </si>
  <si>
    <t>Status to change once confirmation is received that these toilet blocks are open and available for School Groups and other Visitors arriving early to the site.</t>
  </si>
  <si>
    <t>1.1.19</t>
  </si>
  <si>
    <t>All lockers are inside the perimeter. Review options for prohibited-items storage outside the pedestrian screening areas (none currently available).</t>
  </si>
  <si>
    <t>Security, Venue Management, Guest Services</t>
  </si>
  <si>
    <t>Security Policy &amp; Procedure</t>
  </si>
  <si>
    <t>Status has been changed from Risk to Needs Clarification. Decision to be taken collectively whether this service will be available for visitors. If not, line item to be closed and reference to the Prohibited &amp; Restricted Items Policy and Access Control to be provided</t>
  </si>
  <si>
    <t>1.1.20</t>
  </si>
  <si>
    <t>Priority parking for disabled visitors exists in the parking close to the pedestrian screening areas.</t>
  </si>
  <si>
    <t>Status has been changed to Needs Further Clarification until exact location of the parking and parking capacity is captured in the DOP and shared</t>
  </si>
  <si>
    <t>1.1.21</t>
  </si>
  <si>
    <t>Define what qualifies as "accessible" for priority parking and how eligibility is verified.</t>
  </si>
  <si>
    <t>Transport &amp; Mobility Operations, Guest Services</t>
  </si>
  <si>
    <t>TMO Policy &amp; Procedure</t>
  </si>
  <si>
    <t>1.1.22</t>
  </si>
  <si>
    <t>Designated parking exists for school groups, plus designated drop-off areas. Groups will be welcomed by a guide from Guest Services and a transport usher.</t>
  </si>
  <si>
    <t>Guest Services, Transport &amp; Mobility Operations</t>
  </si>
  <si>
    <t>Guest Services Department Operating Plan, TMO Department Operating Plan, Zone Operating Plan</t>
  </si>
  <si>
    <t>Presentation held by TMO and GST, details and routes to be added to the operating plans</t>
  </si>
  <si>
    <t>1.1.23</t>
  </si>
  <si>
    <t>Confirm bike-parking locations and final slot count (100 or 200) at Entrance A and Entrance C.</t>
  </si>
  <si>
    <t>TMO Department Operating Plan, Zone Operating Plan, Expo Site Operating Plan</t>
  </si>
  <si>
    <t>Exact number of micro mobility has been shared per entrance during TMO Presentation at Session 3 of the Model Zone Exercise</t>
  </si>
  <si>
    <t>1.1.24</t>
  </si>
  <si>
    <t>Confirm whether signage directs cyclists to bike parking at Entrance A or C.</t>
  </si>
  <si>
    <t>1.1.25</t>
  </si>
  <si>
    <t>Confirm details of locations offering lendable wheelchairs and other mobility items.</t>
  </si>
  <si>
    <t xml:space="preserve">Location of the wheelchair rental within the site is clear, information received that there is an application and visitors can book the wheelchair for their visit and wheelchair will be delivered to the information point outside the gates, process flow and details to be clarified </t>
  </si>
  <si>
    <t>1.1.26</t>
  </si>
  <si>
    <t>Confirm verification method for IP and Workforce access to dedicated parking at the parking entrances as dedicated free parking for International Participants and Workforce.</t>
  </si>
  <si>
    <t>Accreditation, Transport &amp; Mobility</t>
  </si>
  <si>
    <t>TMO Department Operating Plan,  Zone Operating Plan, Expo Site Operating Plan, IP Guide (?), TMO Policy and Procedure</t>
  </si>
  <si>
    <t>Further clarification required on the process, capacity management, will the parking be available to everyone with accreditation, or only if somebody is arriving for a shift.
Example - What if my shift starts at 5:00 p.m. but I have arrived early with my family to park my car in accredited parking.</t>
  </si>
  <si>
    <t>1.1.27</t>
  </si>
  <si>
    <r>
      <t>School groups: an estimated 1,800 children may arrive before the 09:30 opening time (buses arriving from ~08:30)</t>
    </r>
    <r>
      <rPr>
        <strike/>
        <sz val="9"/>
        <color rgb="FF0D0C4E"/>
        <rFont val="Montserrat"/>
      </rPr>
      <t>, with toilets not yet open.</t>
    </r>
    <r>
      <rPr>
        <sz val="9"/>
        <color rgb="FF0D0C4E"/>
        <rFont val="Montserrat"/>
      </rPr>
      <t xml:space="preserve"> Decide on holding versus admitting early, and on early facility access. Counter-position voiced in session: organised visits should be aligned to opening hours to avoid setting exceptions (VIPs, accessibility cases, etc. would follow).</t>
    </r>
  </si>
  <si>
    <t>Transport &amp; Mobility Operations,  Guest Services, Security &amp; Crowd Management, Venue Management</t>
  </si>
  <si>
    <t>Guest Services Department Operating Plan, Zone Operating Plan. Security Policy &amp; Procedure</t>
  </si>
  <si>
    <t>1.1.28</t>
  </si>
  <si>
    <t>Confirm parking payment methods: cash versus card acceptance (cashier or self-checkout confirmation required).</t>
  </si>
  <si>
    <t xml:space="preserve">Status has been changed from Needs Further Clarification to Confirmed / Locked because it has been discussed and both payment options will be available, in case if cashiers are not there, visitor can pay at parking machines and scan his ticket to exit the parking </t>
  </si>
  <si>
    <t>1.1.29</t>
  </si>
  <si>
    <t>Confirm outcome of negotiations with operators on a free buggy/cart transfer service from parking to the entrance for mobility-impaired visitors; transfer assistance also available inside the site on request.</t>
  </si>
  <si>
    <t>TMO Department Operating Plan, Guest Services Department Operating Plan</t>
  </si>
  <si>
    <t>1.1.30</t>
  </si>
  <si>
    <t>Micro-mobility hubs (e.g. virtual bike stations) being considered for a future period, beyond the 100 confirmed bike slots.</t>
  </si>
  <si>
    <t>Details of the micro mobility have been provided during DOP presentation at session 3 of Model Zone Exercise.</t>
  </si>
  <si>
    <t>1.1.31</t>
  </si>
  <si>
    <t>&gt;&gt; MERGED into 1.1.15 (content consolidated; see Change Log tab)</t>
  </si>
  <si>
    <t>Parking Operations</t>
  </si>
  <si>
    <t>Transport &amp; Parking Plan</t>
  </si>
  <si>
    <t>[MERGED] Duplicate of 1.1.15. Row kept for audit (non-destructive) - safe to delete.</t>
  </si>
  <si>
    <t>1.2.01</t>
  </si>
  <si>
    <t>2. Ticket Box Office</t>
  </si>
  <si>
    <t>Define ticket box office operating hours (scenario raised: arrival at the parking without a ticket).</t>
  </si>
  <si>
    <t>Ticketing</t>
  </si>
  <si>
    <t>[X-REF] Box-office hours answered by S3 3.K.04 (proposed 09:00-19:00; last-sale time still TBC). To be closed once exact time of the operations is locked and shared.</t>
  </si>
  <si>
    <t>1.2.02</t>
  </si>
  <si>
    <t>No ticket machines available on site.</t>
  </si>
  <si>
    <t>This to be captured in the department operating plan to make sure that everyone is aware.</t>
  </si>
  <si>
    <t>1.2.03</t>
  </si>
  <si>
    <t>Tickets can be purchased via the Ticketboom application or by scanning a QR code.</t>
  </si>
  <si>
    <t>Ticketing Plan</t>
  </si>
  <si>
    <t>1.2.04</t>
  </si>
  <si>
    <t>Confirm whether a ticket can be purchased at the ticket box office with international currency.</t>
  </si>
  <si>
    <t>Ticketing / Finance</t>
  </si>
  <si>
    <t>[X-REF] Related: S2 2.08.15 (F&amp;B dinar-only) and S3 3.K.02 (cash + card). Box-office foreign-currency question still open.</t>
  </si>
  <si>
    <t>1.2.05</t>
  </si>
  <si>
    <t>Ticket options to include family tickets. Confirm minimum age for entrance without a ticket.</t>
  </si>
  <si>
    <t>Ticketing Department Operating Plan, Ticketing Policy &amp; Procedure</t>
  </si>
  <si>
    <t>[X-REF] Partially answered by S3 3.K.03 (free ticket for children under 7 = min age without a ticket).</t>
  </si>
  <si>
    <t>1.2.06</t>
  </si>
  <si>
    <t>Confirm ticket upgrade facility/process (tickets valid across 3 days).</t>
  </si>
  <si>
    <t>Confirmed no ticket upgrade options.</t>
  </si>
  <si>
    <t>1.2.07</t>
  </si>
  <si>
    <t>Confirm whether a seasonal ticket option will be offered (currently not available).</t>
  </si>
  <si>
    <t>1.2.08</t>
  </si>
  <si>
    <t>Ensure Ticketing team attendance at future sessions; multiple ticketing questions remain unanswered from Session 1.</t>
  </si>
  <si>
    <t>Ticketing, S21</t>
  </si>
  <si>
    <t>MZE Governance (process)</t>
  </si>
  <si>
    <t>Issue been addressed and Ticketing was present at MZE Sessions, however this needs to be addressed with all the departments required at the sessions.</t>
  </si>
  <si>
    <t>1.3.01</t>
  </si>
  <si>
    <t>3. PSA / Security Check</t>
  </si>
  <si>
    <t>Confirm dedicated lanes for school groups or different client groups at the pedestrian screening areas.</t>
  </si>
  <si>
    <t>Security, Guest Services</t>
  </si>
  <si>
    <t>Security Department Operating Plan, Guest Services Department Operating Plan, Security Policy &amp; Procedure</t>
  </si>
  <si>
    <t>[X-REF] Addressed by S3 3.S.03 (dedicated VIP / PwD / group lanes; Point D school assembly). Also O.1.04 (lane reverts to general flow when group absent). However no plan has been provided showing the lane allocation to the guest or sub guest groups.</t>
  </si>
  <si>
    <t>1.3.02</t>
  </si>
  <si>
    <t>Dedicated lane for large media equipment.</t>
  </si>
  <si>
    <t>Security, Media Operations</t>
  </si>
  <si>
    <t>Security Department Operating Plan, Security Policy &amp; Procedure</t>
  </si>
  <si>
    <t>Reference to Policy on large items scanning and Policy on Prohibited and Restricted items to be provided</t>
  </si>
  <si>
    <t>1.3.03</t>
  </si>
  <si>
    <t>Confirm target processing time / SLA for PSA operations.</t>
  </si>
  <si>
    <t>Security</t>
  </si>
  <si>
    <t>Security Department Operating Plans</t>
  </si>
  <si>
    <t>[X-REF] SLA figure provided by S3 3.S.02 (~2,340/hr, ~260/line across 9 lines) - confirm and lock the target. Status has been changed from Need Further Clarification to Confirmed / Locked.</t>
  </si>
  <si>
    <t>1.3.04</t>
  </si>
  <si>
    <t>&gt;&gt; MERGED intoS2 2.05.16  (content consolidated; see Update/Notes Column)</t>
  </si>
  <si>
    <t>Security, Ticketing</t>
  </si>
  <si>
    <t>Prohibited Items List</t>
  </si>
  <si>
    <t>[X-REF] Contradicted by S2 2.05.16 (list NOT printed on ticket; QR sends guest to  yet contradicting S2 2.05.16 is still Open. Confirm the prohibited-items comms method is settled, or reopen pending 2.05.16 / 1.3.05.</t>
  </si>
  <si>
    <t>1.3.05</t>
  </si>
  <si>
    <t>Produce full breakdown of permitted/prohibited items, limitations, and confiscation process (equipment, food, tools of trade, etc.), and confirm signage ownership and pre-arrival communication.</t>
  </si>
  <si>
    <t>Security Department Operating Plan, Security Policy &amp; Procedure, Zone Operating Plan</t>
  </si>
  <si>
    <t>Ownership of the Prohibited and Restricted List of items sits with Security however the signage itself need further clarification to understand how it looks.</t>
  </si>
  <si>
    <t>1.3.06</t>
  </si>
  <si>
    <t>Laptops and personal out-of-spectrum devices can be brought on site (scanned as normal, no tagging) if not in the prohibited items list.</t>
  </si>
  <si>
    <t>1.3.07</t>
  </si>
  <si>
    <t>Drones are not allowed on site without permission. Clarify the permission acquisition process.</t>
  </si>
  <si>
    <t>Security, Government Authorities</t>
  </si>
  <si>
    <t>1.3.08</t>
  </si>
  <si>
    <t>Clarify the gray area between prohibited items for visitors and tools of trade for workforce; a defined process may be in place but wasn't communicated during the session.</t>
  </si>
  <si>
    <t>Security, Accreditation &amp; All</t>
  </si>
  <si>
    <t>Security Department Operating Plan, Security Policy &amp; Procedure, Accreditation Policy  &amp; Procedure</t>
  </si>
  <si>
    <t>All departments that have contractors will be affected, because they need to know about tools of trade and how they can be brought to site. Accreditation is specifically tagged to discuss whether there will be additional accreditation supplement card confirming that this contractor is coming to site with tools to perform particular task.</t>
  </si>
  <si>
    <t>1.3.09</t>
  </si>
  <si>
    <t>No food is allowed for general visitors.</t>
  </si>
  <si>
    <t>1.3.10</t>
  </si>
  <si>
    <t>Organised school groups can bring their own food (exception to the no-food rule).</t>
  </si>
  <si>
    <t>Guest Services, Security, Cleaning &amp; Waste, F&amp;B</t>
  </si>
  <si>
    <t>Guest Services Department Operating Plan, Guest Services Policy &amp; Procedure, Security Policy &amp; Procedure, Zone Operating Plan</t>
  </si>
  <si>
    <t>List of departments has been updated and status has changed from Closed to Open because this item line needs further details, what kind of food is allowed, where they will eat them, where the food will be kept, or food boxes will be with children while visiting pavilions etc.</t>
  </si>
  <si>
    <t>1.3.11</t>
  </si>
  <si>
    <t>Confirm process for food exceptions on medical grounds, and for baby food. Baby food and specific food type allowances currently under discussion with Security.</t>
  </si>
  <si>
    <t>Security to coordinate with Venue Management because Medical is currently sitting in Venue Management's scope, Guest Services to be also involved as Guest Group owner to make sure that there is no service gap and we have a solution in place.</t>
  </si>
  <si>
    <t>1.3.13</t>
  </si>
  <si>
    <t>Confirm millilitre limit for creams and liquids (sunscreen, perfumes, makeup, etc.).</t>
  </si>
  <si>
    <t xml:space="preserve">Is there any restriction or not? </t>
  </si>
  <si>
    <t>1.3.14</t>
  </si>
  <si>
    <t>Recording restrictions on site: no restrictions in front-of-house areas. Restricted areas to be marked.</t>
  </si>
  <si>
    <t>Security Policy &amp; Procedure, Media Policy &amp; Procedure</t>
  </si>
  <si>
    <t>1.3.15</t>
  </si>
  <si>
    <t>Public address (PA) systems at the pedestrian screening areas will play a specific script in English and Serbian. No screens currently planned in the area.</t>
  </si>
  <si>
    <t>Venue Management, Security, IT</t>
  </si>
  <si>
    <t>Venue Management Policy &amp; Procedure</t>
  </si>
  <si>
    <t>Status has beem changed because no details have been provided on script and how PAVA works, where it will be controlled from, will the messages be prerecorded etc.</t>
  </si>
  <si>
    <t>1.3.16</t>
  </si>
  <si>
    <t>Review proposed commercial content for the public address system.</t>
  </si>
  <si>
    <t>Commercial, Venue Management</t>
  </si>
  <si>
    <t>Commercial Policy &amp; Procedure</t>
  </si>
  <si>
    <t>PLAN TBC - commercial content review may sit with Commercial. No information received on Commercial content for Public Address System</t>
  </si>
  <si>
    <t>1.3.17</t>
  </si>
  <si>
    <t>Confirm PA content approval process with Communications (or other equivalent) team.</t>
  </si>
  <si>
    <t>Venue Management, IT, Marketing</t>
  </si>
  <si>
    <t>Communication not captured, because it doesn't exist as department. Assumption is that Marketing should be involved in process of verifcation of the content.</t>
  </si>
  <si>
    <t>1.3.18</t>
  </si>
  <si>
    <t>Assumption is PAs are managed from the command centre (MOC); different public address zones can play different audio.</t>
  </si>
  <si>
    <t>Security, Venune Management</t>
  </si>
  <si>
    <t>Security Department Operating Plan, Venue Management Department Operating Plan, Venue Management Policy &amp; Procedure</t>
  </si>
  <si>
    <t>Document to be provided to show how the PA is split into the zones and what are those zones, are these zones aligned with our Operating Model, or they by zones we refer to the Expo Zones.</t>
  </si>
  <si>
    <t>1.3.19</t>
  </si>
  <si>
    <t>Clarify ownership of the public address system: Venue Management or System Operations.</t>
  </si>
  <si>
    <t>Venue Management, IT</t>
  </si>
  <si>
    <t>Venue Management Department Operating Plan, IT Department Operating Plan</t>
  </si>
  <si>
    <t>1.3.20</t>
  </si>
  <si>
    <t>Define the re-entry procedure for visitors who exit the site (example raised: retrieving medication from a car). Bracelet/wristband or rescan concept discussed informally with Security but not agreed.</t>
  </si>
  <si>
    <t>Security, Venue Management, Guest Services, Ticketing</t>
  </si>
  <si>
    <t>Ticketing Policy &amp; Procedure</t>
  </si>
  <si>
    <t>1.3.21</t>
  </si>
  <si>
    <t>Wheelchair users, Muslim covered, female visitors: discreet search area with female security representatives available at each entrance for private screening.</t>
  </si>
  <si>
    <t>Further clarification needed on discreet search process. It was confirmed and shown on Session 3 of the Model Zone Exercise, however step by step implementation of the discreete search should be clarified. Status has been changed from Assumption to Needs Further Clarification</t>
  </si>
  <si>
    <t>1.3.22</t>
  </si>
  <si>
    <t>Clarify division of responsibility between ticketing, security, and crowd management for pre-PSA queue checks.</t>
  </si>
  <si>
    <t>Security Department Operating Plan, Security Policy &amp; Procedure, Crowd Management Department Operating Plan, Crowd Management Policy &amp; Procedure, Ticketing Department Operating Plan</t>
  </si>
  <si>
    <t>Throughout the Model Zone Exercise, Ticketing and Security has mentioned that Soft ticket check responsibility sits with them, however this need to be confirmed and locked.</t>
  </si>
  <si>
    <t>1.4.01</t>
  </si>
  <si>
    <t>4. Inside Perimeter / Decision Making</t>
  </si>
  <si>
    <t>Six medical points located inside the perimeter. Signage exists around the site showing the medical centres.</t>
  </si>
  <si>
    <t>Venue Management</t>
  </si>
  <si>
    <t>Venue Management Department Operating Plan, Zone Operating Plan</t>
  </si>
  <si>
    <t>Status has changed from Confirmed to Needs Further Clarification because no evidence of signage locations has been provided.</t>
  </si>
  <si>
    <t>1.4.02</t>
  </si>
  <si>
    <t>Medical staff will be on the radio via a dedicated emergency channel; all staff able to reach them.</t>
  </si>
  <si>
    <t>Venue Management Department Operating Plan, Zone Operating Plan, Fleet Map</t>
  </si>
  <si>
    <t>Similar to above, status changed and further discussion is needed on communication and fleet maps covering BAU, Emergency &amp; Medical Situations.</t>
  </si>
  <si>
    <t>1.4.03</t>
  </si>
  <si>
    <t>Review wayfinding for business travellers: no interactive wayfinding or dedicated signage currently directs a visitor from one venue to another for meetings and forums.</t>
  </si>
  <si>
    <t>Business Programme, Guest Services</t>
  </si>
  <si>
    <t>Business Program Department Operating Plan, Zone Operating Plan</t>
  </si>
  <si>
    <t>PLAN TBC - shared with Business Programme.</t>
  </si>
  <si>
    <t>1.4.04</t>
  </si>
  <si>
    <t>B2B application available for business attendees to book meeting slots.</t>
  </si>
  <si>
    <t>Business Programme</t>
  </si>
  <si>
    <t>Business Programme Plan</t>
  </si>
  <si>
    <t>Locations to be provided</t>
  </si>
  <si>
    <t>1.4.05</t>
  </si>
  <si>
    <t>Booking of quiet rooms for holding meetings will be available through the B2B app.</t>
  </si>
  <si>
    <t>1.4.06</t>
  </si>
  <si>
    <t>No dedicated wayfinding within the B2B application; reliance on existing physical signage.</t>
  </si>
  <si>
    <t xml:space="preserve">Business Programme </t>
  </si>
  <si>
    <t>1.4.07</t>
  </si>
  <si>
    <t>No interactive map showing where you are and where to go; reliance on signage and Guest Services volunteers.</t>
  </si>
  <si>
    <t xml:space="preserve">Guest Services </t>
  </si>
  <si>
    <t>Wayfinding &amp; Signage Plan</t>
  </si>
  <si>
    <t>1.4.08</t>
  </si>
  <si>
    <t>Confirm approach for content displays / programme boards showing where events are happening; the application is the suggested option for the daily programme (Programme and Marketing work in progress).</t>
  </si>
  <si>
    <t>Content &amp; Programme, Marketing, IT</t>
  </si>
  <si>
    <t xml:space="preserve">Content &amp; Programming Department Operating Plan, EMS, Zone Operating Plan, Expo Site Operating Plan, </t>
  </si>
  <si>
    <t>1.4.09</t>
  </si>
  <si>
    <t>Free Wi-Fi on site; finalise arrangements (currently in motion).</t>
  </si>
  <si>
    <t>IT</t>
  </si>
  <si>
    <t>IT Department Operating Plan, IT Policy &amp; Procedure, Zone Operating Plan</t>
  </si>
  <si>
    <t>1.4.10</t>
  </si>
  <si>
    <t>Clarify provision of mobile device charging stations on site (Commercial to advise).</t>
  </si>
  <si>
    <t>Commercial</t>
  </si>
  <si>
    <t>Commercial Department Operating Plan, Zone Operating Plan</t>
  </si>
  <si>
    <t>1.4.11</t>
  </si>
  <si>
    <t>B2B application registration is available for public.</t>
  </si>
  <si>
    <t>Business Programme Department Operating Plan</t>
  </si>
  <si>
    <t>1.4.12</t>
  </si>
  <si>
    <t>Confirm provision of guides for people with disabilities.</t>
  </si>
  <si>
    <t>Guest Services Department Operating Plan, Zone Operating Plan, Expo Site Operating Plan, Guest Services Policy &amp; Procedure</t>
  </si>
  <si>
    <t>1.4.13</t>
  </si>
  <si>
    <t>Confirm accessibility features of the application (currently in progress).</t>
  </si>
  <si>
    <t>IT, Guest Services</t>
  </si>
  <si>
    <t>1.4.14</t>
  </si>
  <si>
    <t>Review provision of accessible signage for people with disabilities (currently none planned).</t>
  </si>
  <si>
    <t>1.4.15</t>
  </si>
  <si>
    <t>Media centre will be located in Zone B.</t>
  </si>
  <si>
    <t>Media Operations</t>
  </si>
  <si>
    <t>Media Department Operating Plan</t>
  </si>
  <si>
    <t>1.4.16</t>
  </si>
  <si>
    <t>Confirm currency exchange availability on site.</t>
  </si>
  <si>
    <t>Commercial Department Operating Plan, Commercial Policy &amp; Procedure</t>
  </si>
  <si>
    <t>1.4.17</t>
  </si>
  <si>
    <t>Confirm ATM provision (potential sponsor-funded solution).</t>
  </si>
  <si>
    <t>2.05.01</t>
  </si>
  <si>
    <t>5. Best Practice Pavilion</t>
  </si>
  <si>
    <t>Best Practice Pavilion information will be available via the app and map; the map is not yet integrated into the app (work in development). Confirm integration timeline.</t>
  </si>
  <si>
    <t>IT, Pavilions Management, Non Official Participants, Venue Management</t>
  </si>
  <si>
    <t>IT Department Operating Plan, IT Policy &amp; Procedure, Venue Operating Plans, Zone Operating Plan</t>
  </si>
  <si>
    <t>2.05.02</t>
  </si>
  <si>
    <t>Confirm QMS scope and delivery timeline for showing queue times across the apps (still in development).</t>
  </si>
  <si>
    <t>IT, Crowd Management, Pavilions Management, Non-Official Participants, Venue Management</t>
  </si>
  <si>
    <t>Crowd Management Operating Plan, Crowd Management Policy &amp; Procedure, Venue Operating Plans, Zone Operating Plan</t>
  </si>
  <si>
    <t>2.05.03</t>
  </si>
  <si>
    <t>Pavilion access model: each pavilion decides whether entry is bookable (slots) or free flow. Priority groups can be accommodated based on needs.</t>
  </si>
  <si>
    <t>Pavilions Management, Non-Official Participants, Venue Management</t>
  </si>
  <si>
    <t>Pavilion Management Department Operating Plan, Non Official Department Operating Plan, Venue Operating Plan, Zone Operating Plan</t>
  </si>
  <si>
    <t>PLAN TBC - confirm owning plan for pavilion operations.</t>
  </si>
  <si>
    <t>2.05.04</t>
  </si>
  <si>
    <t>Accessibility ramps expected for all pavilions.</t>
  </si>
  <si>
    <t>Design &amp; Construction, Guest Services, Venue Management</t>
  </si>
  <si>
    <t>Zone Operating Plan, Expo Site Operating Plan</t>
  </si>
  <si>
    <t>Status has been changed from Assumption to Risk, because no information has been received on entry points and site wide inclusivity. This will have a big influence on Visitor Experience across whole Expo Site and Event duration</t>
  </si>
  <si>
    <t>2.05.05</t>
  </si>
  <si>
    <t>Confirm availability and distribution of hard copy maps and programme guides across the site; assumed by Guest Services but currently planned, not confirmed.</t>
  </si>
  <si>
    <t>Guest Services, Marketing</t>
  </si>
  <si>
    <t>Guest Services Department Operating Plan, Zone Operating Plan, Guest Services Policy &amp; Procedure</t>
  </si>
  <si>
    <t>2.05.06</t>
  </si>
  <si>
    <t>Confirm whether pavilions display their programme (screens or other means) and whether Guest Services will have a digital view of the programme.</t>
  </si>
  <si>
    <t>Pavilions Management, Non-Official Participants, IT, Programming &amp; Content, Crowd Management</t>
  </si>
  <si>
    <t>Pavilions Management Department Operating Plan, Non-Official Participant Department Operating Plan, Venue Operating Plan, Zone Operating Plan</t>
  </si>
  <si>
    <t>Crowd Management included to check if queueing time could be showcased on the same screens</t>
  </si>
  <si>
    <t>2.05.07</t>
  </si>
  <si>
    <t>Confirm stroller-parking provision (unconfirmed while pavilions are in design); strollers may pass through subject to each pavilion's design.</t>
  </si>
  <si>
    <t>Pavilions Management, Non-Official Participants, Crowd Management, Venue Management</t>
  </si>
  <si>
    <t>Venue Operating Plans</t>
  </si>
  <si>
    <t>Crowd Management and Venue Management have been captured to ensure that these departments are consulted and involved during decision making to make sure that situation is evaluated from all perspectives</t>
  </si>
  <si>
    <t>2.05.08</t>
  </si>
  <si>
    <t>Expo Passport stamping planned: per-pavilion logo stamps; stamping only for visitors who pass through the pavilion.</t>
  </si>
  <si>
    <t>Marketing, Merchendize, Pavilions Management, Non-Official Participants, Guest Services</t>
  </si>
  <si>
    <t>Commercial Department Operating Plan, Venue Operating Plan, Zone Operating Plan</t>
  </si>
  <si>
    <t xml:space="preserve">Status has been changed from Assumption to Needs Further Clarification. </t>
  </si>
  <si>
    <t>2.05.09</t>
  </si>
  <si>
    <t>Review visibility/placement of stamping locations to reduce visitors leaving a pavilion and returning only to stamp.</t>
  </si>
  <si>
    <t>Pavilions Management, Non Official Participants</t>
  </si>
  <si>
    <t>Pavilions Management Department Operating Plan, Venue Operating Plan</t>
  </si>
  <si>
    <t>2.05.10</t>
  </si>
  <si>
    <t>Thematic pavilion bookmarks and digital brochures under discussion; a guide covering the whole site and pavilions is to be discussed - currently not planned.</t>
  </si>
  <si>
    <t>2.05.11</t>
  </si>
  <si>
    <t>No visitor toilets inside pavilions; pavilion toilets are staff-only.</t>
  </si>
  <si>
    <t xml:space="preserve">Pavilions Management, Non-Official Participants, </t>
  </si>
  <si>
    <t>2.05.12</t>
  </si>
  <si>
    <t xml:space="preserve">Prayer rooms available across the site close to visitor centers; not inside pavilions.Is there a map showing locations, has it been incorporated into the signage, are there ablution areas nearby? </t>
  </si>
  <si>
    <t>Guest Services Department Operating Plan, Zone Operations Plan</t>
  </si>
  <si>
    <t>2.05.13</t>
  </si>
  <si>
    <t>Ensure workforce training for pavilion and guest services staff covers nearby facilities (toilets, prayer rooms).</t>
  </si>
  <si>
    <t>Workforce &amp; Volunteers</t>
  </si>
  <si>
    <t>Workforce Department Operating Plan, Volunteer Department Operating Plan, Zone Operations Plan, Workfoce Policy &amp; Procedure</t>
  </si>
  <si>
    <t>2.05.14</t>
  </si>
  <si>
    <t>Visitor feedback captured centrally via the application for overall experience (not per pavilion); thematic pavilions run custom surveys monitored daily/weekly/monthly; on-site questionnaires also planned.</t>
  </si>
  <si>
    <t>Guest Services Plan</t>
  </si>
  <si>
    <t>2.05.15</t>
  </si>
  <si>
    <t>Evaluate suggestions raised: feedback terminal with photobooth, gamified/interactive app feedback at exits, and augmented reality stamp capture in the app.</t>
  </si>
  <si>
    <t>Technology, Marketing</t>
  </si>
  <si>
    <t>Digital &amp; App Plan</t>
  </si>
  <si>
    <t>Status has been changed from Needs Further Clarification to Assumption</t>
  </si>
  <si>
    <t>2.05.16</t>
  </si>
  <si>
    <t>CONFLICT with S1 item 1.3.04 (currently Closed): Ticketing team stated the prohibited items list will NOT be printed on the ticket - the ticket terms and conditions only reference the list, with no detail and qr code will take the guest to the app where the prohibited items list can be displayed.</t>
  </si>
  <si>
    <t>Security Policy &amp; Procedure, Ticketing Department Operating Plan, Ticketing Policy &amp; Procedure</t>
  </si>
  <si>
    <t>2.06.01</t>
  </si>
  <si>
    <t>6. Visitor Center</t>
  </si>
  <si>
    <t>Confirm how visitor centers are shown in the app (map still under discussion); no live location in the app, so visitors rely on signage and directions to find visitor centers.</t>
  </si>
  <si>
    <t>Guest Services, IT</t>
  </si>
  <si>
    <t>2.06.02</t>
  </si>
  <si>
    <t>Visitor center operating hours captured as 09:30 to midnight (weekends until 01:00); conflicting hours also recorded (10:00-23:00 Mon-Thu, 10:00-00:00 Fri-Sat). Confirm definitive hours.</t>
  </si>
  <si>
    <t>This has been discussed and confirmed, Visitor Centers will open and close catering to the Opening and Closing of the Expo Site</t>
  </si>
  <si>
    <t>2.06.03</t>
  </si>
  <si>
    <t>QMS is not owned by Guest Services; QMS bookings cannot be changed at visitor centers.</t>
  </si>
  <si>
    <t>This should be captured as an exclusioon in the Guest Services Department Operating Plan Exclusion section</t>
  </si>
  <si>
    <t>2.06.04</t>
  </si>
  <si>
    <t>Visitor centers provide general information only (programmes, services, directions); ticket issues are redirected to the ticket box offices and ticket resolution desks</t>
  </si>
  <si>
    <t>Guest Services, Ticketing</t>
  </si>
  <si>
    <t>Guest Services Department Operating Plan, Ticketing Department Operating Plan, Ticketing Policy &amp; Procedure</t>
  </si>
  <si>
    <t>2.06.05</t>
  </si>
  <si>
    <t>No ticket upgrade option offered (1-day to 3-day or seasonal).</t>
  </si>
  <si>
    <t>Closes Session 1 item 1.2.06.</t>
  </si>
  <si>
    <t>2.06.06</t>
  </si>
  <si>
    <t>Tickets are not personalized and can be used by whoever holds them; one-time scan on entry with wristband issued; QR codes to be included on tickets; same-day re-entry via paper wristband.</t>
  </si>
  <si>
    <t>Ticketing, Security, Guest Services</t>
  </si>
  <si>
    <t>Status is changed and will be open requiring clarification on QR and re-entry end to end process flow is clarified, capturing roles and responsibilities of the departments</t>
  </si>
  <si>
    <t>2.06.07</t>
  </si>
  <si>
    <t>If a programmed event is cancelled, Expo carries no liability; tickets remain usable on alternative dates. Procedure must define who is informed, with Guest Services informed asap.</t>
  </si>
  <si>
    <t>Programming &amp; Content, Venue Management, Security, Ticketing, Guest Services, Marketing, Media</t>
  </si>
  <si>
    <t>Content &amp; Programming Department Operating Plan, Content &amp; Programming Policy &amp; Procedure</t>
  </si>
  <si>
    <t>Further discussion needed with all affected and involved departments to review the step by step end to end process flow for cancellation and informing the visitors</t>
  </si>
  <si>
    <t>2.06.08</t>
  </si>
  <si>
    <t>Lost child procedure: Guest Services receives the report, logs it in the incident management platform, and MOC is informed; found child policy referenced. Legal review ongoing on sharing photo vs description. Finalize end-to-end procedure, including who accompanies found children until reunion.</t>
  </si>
  <si>
    <t>Guest Services, Security</t>
  </si>
  <si>
    <t>Guest Services Policy &amp; Procedure</t>
  </si>
  <si>
    <t>Status has been changed from Risk to Needs Clarification. Development of this procedures will close this topic and clarifiy all the responsibilities with regards to lost &amp; found children or items and communication methods.</t>
  </si>
  <si>
    <t>2.06.09</t>
  </si>
  <si>
    <t>Dedicated room with psychologists and entertainment staff to hold found children until reunion; staff coordinate via push-to-talk application and OMS; reunion at guest service center.</t>
  </si>
  <si>
    <t xml:space="preserve">Status has been changed to needs further clarification because it has been mentioned but no further information has been received on this from Guest Services, what is the latest status of this? </t>
  </si>
  <si>
    <t>2.07.01</t>
  </si>
  <si>
    <t>7. Sponsor Pavilion</t>
  </si>
  <si>
    <t>No observations captured for the Sponsor Pavilion touchpoint during Session 2; schedule follow-up or coverage in a later session.</t>
  </si>
  <si>
    <t>Not a delivery plan - MZE process/lesson.</t>
  </si>
  <si>
    <t>2.08.01</t>
  </si>
  <si>
    <t>8. F&amp;B Outlet</t>
  </si>
  <si>
    <t>F&amp;B outlet information will be available in the app; reservations cannot be made via the app; menus and prices not included.</t>
  </si>
  <si>
    <t>F&amp;B, IT</t>
  </si>
  <si>
    <t>F&amp;B Department Operating Plan</t>
  </si>
  <si>
    <t>What kind of information will be captured in the app? Further information to be provided and status of this line item has been changed and will be closed once information will be provided</t>
  </si>
  <si>
    <t>2.08.02</t>
  </si>
  <si>
    <t>Map-level F&amp;B details not yet clear; no advance queue information available. Hard maps to indicate F&amp;B locations with basic category info (e.g. Indian, vegetarian, BBQ).</t>
  </si>
  <si>
    <t>2.08.03</t>
  </si>
  <si>
    <t>Employees have no F&amp;B privileges, discounts, or queue priority.</t>
  </si>
  <si>
    <t>F&amp;B, Workforce</t>
  </si>
  <si>
    <t>F&amp;B Department Operating Plan, F&amp;B Policy &amp; Procedure, Workforce Policy &amp; Procedure</t>
  </si>
  <si>
    <t>2.08.04</t>
  </si>
  <si>
    <t>Staff canteens planned; tenants under negotiation. Confirm arrangements.</t>
  </si>
  <si>
    <t>Catering, Workforce, Volunteers</t>
  </si>
  <si>
    <t>Catering Department Operating Plan, Catering Policy &amp; Procedure, Workforce Policy &amp; Procedure, Volunteer Policy &amp; Procedure, Zone Operating Plan</t>
  </si>
  <si>
    <t>2.08.05</t>
  </si>
  <si>
    <t>Volunteers receive one lunch package per shift; distribution and details still under discussion.</t>
  </si>
  <si>
    <t>Catering Department Operating Plan, Catering Policy &amp; Procedure, Workforce Policy &amp; Procedure, Zone Operating Plan</t>
  </si>
  <si>
    <t>2.08.06</t>
  </si>
  <si>
    <t>Breastfeeding chairs, changing tables available in toilets; discussions ongoing with vendors/sponsors on wipes and diaper-changing supplies. No dedicated space for warming water for babies - visitors can ask in restaurants.</t>
  </si>
  <si>
    <t>Design &amp; Construction, Guest Services, Cleaning &amp; Waste</t>
  </si>
  <si>
    <t>2.08.08</t>
  </si>
  <si>
    <t>Dedicated picnic areas with seats and tables available for takeaway food.</t>
  </si>
  <si>
    <t>F&amp;B, Venue Management, Cleaning &amp; Waste</t>
  </si>
  <si>
    <t>F&amp;B Department Operating Plan, Zone Operating Plan</t>
  </si>
  <si>
    <t>2.08.09</t>
  </si>
  <si>
    <t>F&amp;B operating hours Mon-Thu 10:00-23:00; Fri-Sun 10am–12am; last-order cutoff undefined. Confirm hours and last orders and communicate to visitors.</t>
  </si>
  <si>
    <t>F&amp;B</t>
  </si>
  <si>
    <t>F&amp;B Department Operating Plan, F&amp;B Policy &amp; Procedure</t>
  </si>
  <si>
    <t>2.08.10</t>
  </si>
  <si>
    <t>Alcohol served during the same hours as food; ID checks apply.</t>
  </si>
  <si>
    <t>F&amp;B, Security</t>
  </si>
  <si>
    <t>F&amp;B Policy &amp; Procedure</t>
  </si>
  <si>
    <t>Policy to be developed on Alcohol Consumption capturing age limitation and enforcement details.</t>
  </si>
  <si>
    <t>2.08.11</t>
  </si>
  <si>
    <t>Security escort procedure in place for intoxicated visitors (escorted off site); no sobering room on site.</t>
  </si>
  <si>
    <t>Details related to dealing with intoxicated people to be captured in the Security Department Operating Plan and Policy. Status has been changed to Needs Further Clarification and will be kept open until policy and details in plan are provided</t>
  </si>
  <si>
    <t>2.08.12</t>
  </si>
  <si>
    <t>Smoking rules unresolved: confirm whether smoking is permitted in/near F&amp;B outlets or restricted to designated areas only.</t>
  </si>
  <si>
    <t xml:space="preserve">Venue Management, F&amp;B, Security, Cleaning &amp; Waste, Workforce, Volunteers, </t>
  </si>
  <si>
    <t>Venue Management Policy &amp; Procedure, Zone Operating Plan, Expo Site Operating Plan, Workforce Policy &amp; Procedure</t>
  </si>
  <si>
    <t>Wider discussion to be held with all client group and service departments to define and agree who owns and enforce the policy, is it equally addressed to all the client groups or not.</t>
  </si>
  <si>
    <t>2.08.13</t>
  </si>
  <si>
    <t>Split billing assumed possible in restaurants; depends on vendor POS system - TBC.</t>
  </si>
  <si>
    <t>This is an assumption, and it doesn't need to be captured for resolution. Reccommendation been given to F&amp;B to inform all the vendors to make sure that customers can split the bill. F&amp;B need to develop and circulate policy to all the vendors to enforce that all the F&amp;B Operators required to follow this rule.</t>
  </si>
  <si>
    <t>2.08.14</t>
  </si>
  <si>
    <t>Halal food planned; work with vendors ongoing.</t>
  </si>
  <si>
    <t>2.08.15</t>
  </si>
  <si>
    <t>Only dinar payments accepted at F&amp;B outlets.</t>
  </si>
  <si>
    <t>F&amp;B, Finance</t>
  </si>
  <si>
    <t>Relates to S1 item 1.2.04 - box office ticket currency still TBC.</t>
  </si>
  <si>
    <t>2.08.16</t>
  </si>
  <si>
    <t>School groups eating area: no decision yet on a dedicated space; discussions ongoing regarding Zone E.</t>
  </si>
  <si>
    <t>Guest Services, F&amp;B</t>
  </si>
  <si>
    <t>Guest Services Department Operating Plan, Guest Services Policy &amp; Procedure</t>
  </si>
  <si>
    <t>2.09.01</t>
  </si>
  <si>
    <t>9. Playground</t>
  </si>
  <si>
    <t>Open playgrounds have no clarity on design, capacity. Formalize zone ownership and operating procedures (crowd management, age enforcement, supervision).</t>
  </si>
  <si>
    <t>Venue Management Department Operating Plan, Zone Operating Plan, Expo Site Operating Plan</t>
  </si>
  <si>
    <t>Ownership of the Playground sits with Venue Management, however status will remain as risk since no information is provided on the Playground in terms of design or operations.</t>
  </si>
  <si>
    <t>2.09.02</t>
  </si>
  <si>
    <t>Open playgrounds are treated as open space with no entry/exit control; no mechanism captured to prevent non-accompanying adults from entering. Safeguarding exposure to address.</t>
  </si>
  <si>
    <t>Security, Venue Management</t>
  </si>
  <si>
    <t>2.09.03</t>
  </si>
  <si>
    <t>Accompanying parents can enter playgrounds with their children; no rule blocking entry.</t>
  </si>
  <si>
    <t>2.09.04</t>
  </si>
  <si>
    <t>Minimum unaccompanied entry age for the site still work in progress; captured as 12-15. Confirm the age threshold and the verification document.</t>
  </si>
  <si>
    <t>Ticketing Department Operating Plan, Security Department Operating Plan, Ticketing Policy &amp; Procedure, Security Policy &amp; Procedure, Zone Operating Plan, Expo Site Operating Plan</t>
  </si>
  <si>
    <t>2.09.05</t>
  </si>
  <si>
    <t>Closed playgrounds will have dedicated staff.</t>
  </si>
  <si>
    <t>Venue Management, Workforce &amp; Volunteers</t>
  </si>
  <si>
    <t>2.09.06</t>
  </si>
  <si>
    <t>Confirm the capacity-management approach for closed playgrounds (currently in process).</t>
  </si>
  <si>
    <t>Crowd Management, Venue Management</t>
  </si>
  <si>
    <t>Crowd Management Department Operating Plan, Zone Operating Plan, Expo Site Operating Plan</t>
  </si>
  <si>
    <t>2.09.07</t>
  </si>
  <si>
    <t>Disability-inclusive playground design not confirmed (design information unavailable to operations team).</t>
  </si>
  <si>
    <t>Guest Services, Venue Management, Design &amp; Construction</t>
  </si>
  <si>
    <t>Guest Services Department Operating Plan, Guest Services Policy &amp; Procedure, Zone Operating Plan, Expo Site Operating Plan</t>
  </si>
  <si>
    <t>2.09.09</t>
  </si>
  <si>
    <t>Regulatory ownership: who governs playground law / safety regulation for the open and closed playgrounds? No governing body or standard identified.</t>
  </si>
  <si>
    <t>Venue Management, Design &amp; Construction</t>
  </si>
  <si>
    <t>Likely needs legal input.</t>
  </si>
  <si>
    <t>2.10.01</t>
  </si>
  <si>
    <t>10. National Day Stage</t>
  </si>
  <si>
    <t>National Day events sit in the master calendar and are presumed to appear in the app as part of the programme; ownership with Ceremonies.</t>
  </si>
  <si>
    <t>Ceremonies</t>
  </si>
  <si>
    <t>Ceremonies Department Operating Plan, Protocol Department Operating Plan</t>
  </si>
  <si>
    <t>2.10.02</t>
  </si>
  <si>
    <t>Push notifications confirmed for National Days and other important programme activations.</t>
  </si>
  <si>
    <t>IT, Marketing, Ceremonies</t>
  </si>
  <si>
    <t>IT Department Operating Plan, IT Policy &amp; Procedure</t>
  </si>
  <si>
    <t>2.10.03</t>
  </si>
  <si>
    <t>Define push notification strategy and maximum daily volume (concern raised that even two per day may drive opt-outs); App team, Marketing, and Ceremonies to coordinate what is sent.</t>
  </si>
  <si>
    <t>2.10.04</t>
  </si>
  <si>
    <t>No wheelchair-accessible viewing design currently in place for the National Day Stage.</t>
  </si>
  <si>
    <t>Ceremonies, Venue Management, Guest Services</t>
  </si>
  <si>
    <t>C&amp;P Ceremonies Department Operating Plan, Venue Operating Plan, Zone Operating Plan</t>
  </si>
  <si>
    <t>2.10.05</t>
  </si>
  <si>
    <t>Decide whether to designate a seating area for families with children / other client groups at the National Day Stage (currently in discussion).</t>
  </si>
  <si>
    <t>Ceremonies, Protocol, Guest Services, Venue Management</t>
  </si>
  <si>
    <t>Ceremonies Department Operating Plan, Protocol Department Operating Plan, Venue Operating Plan, Zone Operating Plan</t>
  </si>
  <si>
    <t>2.10.06</t>
  </si>
  <si>
    <t>Photography prohibited during National Day ceremonies; enforced via signage and physical management with the security team.</t>
  </si>
  <si>
    <t>Security, Ceremonies, Guest Services</t>
  </si>
  <si>
    <t>2.10.07</t>
  </si>
  <si>
    <t>POD chaperone gets a free ticket at the box office; accessible visitors self-identify when purchasing through the system.</t>
  </si>
  <si>
    <t>Ticketing, Guest Services</t>
  </si>
  <si>
    <t>2.10.08</t>
  </si>
  <si>
    <t>Ministry conversations ongoing on allocating tickets to some accessible visitor groups; confirm discount framework (persons with disabilities, students/teenagers).</t>
  </si>
  <si>
    <t>2.10.09</t>
  </si>
  <si>
    <t>National Day ceremonies are invitee-only (300 seats, ceremony ~60 minutes); public may be invited to fill empty seats case-by-case, validated with the organizing IP first. Stage programme opens to the public after the ceremony; World Stage and World Game open to the general public.</t>
  </si>
  <si>
    <t>Ceremonies, International Participants, Crowd Management, Venue Management</t>
  </si>
  <si>
    <t>Ceremonies Department Operating Plan, Protocol Department Operating Plan, Crowd Management Department Operating Plan, Venue Operating Plan, Zone Operating Plan, Expo Site Operating Plan</t>
  </si>
  <si>
    <t>2.10.10</t>
  </si>
  <si>
    <t>Confirm whether the National Day Stage is enclosed. Affects crowd management, sightlines and access control.</t>
  </si>
  <si>
    <t>Ceremonies, Crowd Management, Venue Management</t>
  </si>
  <si>
    <t>Ceremonies Department Operating Plan, Crowd Management Department Operating Plan, Venue Operating Plan, Zone Operating Plan, Expo Site Operating Plan</t>
  </si>
  <si>
    <t>2.11.01</t>
  </si>
  <si>
    <t>11. Sport Venue</t>
  </si>
  <si>
    <t>Sport venue programme included in the master calendar and will flow through to the app.</t>
  </si>
  <si>
    <t>Sports, IT</t>
  </si>
  <si>
    <t>Sport Department Operating Plan, Sports Policy &amp; Procedure</t>
  </si>
  <si>
    <t>2.11.02</t>
  </si>
  <si>
    <t>No ticket required for sport venues and activities; free access, first-come-first-served, with capacity managed on entry.</t>
  </si>
  <si>
    <t>Sports, Venue Management</t>
  </si>
  <si>
    <t>Sports Department Operating Plan, Zone Operating Plan</t>
  </si>
  <si>
    <t>2.11.03</t>
  </si>
  <si>
    <t>Capacity at sport venues is managed by counting on entry - confirm the exact mechanism/method for counting and enforcing capacity.</t>
  </si>
  <si>
    <t>Sports, Crowd Management, Venue Management</t>
  </si>
  <si>
    <t>2.11.04</t>
  </si>
  <si>
    <t xml:space="preserve">Food not allowed inside sport venues; confirm whether signage communicates this. </t>
  </si>
  <si>
    <t>Sports</t>
  </si>
  <si>
    <t>Sports Department Operating Plan, Sports Policy &amp; Procedure, Zone Operating Plan</t>
  </si>
  <si>
    <t>2.11.05</t>
  </si>
  <si>
    <t>Sport venue seating is not shaded; heat exposure risk for spectators during summer operations.</t>
  </si>
  <si>
    <t>Sports, Design &amp; Construction, Venue Management</t>
  </si>
  <si>
    <t>2.11.07</t>
  </si>
  <si>
    <t>Athletes/participants list required equipment and specific food requirements via the platform; pre-registration of hospitality needs (dietary, medical) being explored.</t>
  </si>
  <si>
    <t>Sports, F&amp;B</t>
  </si>
  <si>
    <t>2.11.08</t>
  </si>
  <si>
    <t>Work through school-group involvement at sport venues (participation, access, supervision).</t>
  </si>
  <si>
    <t>Sports, Guest Services</t>
  </si>
  <si>
    <t>Sports Department Operating Plan, Guest Services Department Operating Plan, Zone Operating Plan</t>
  </si>
  <si>
    <t>2.11.09</t>
  </si>
  <si>
    <t>F&amp;B exception decision-making: if a high-profile guest/celebrity wants to bring their own food into a sport venue, who decides and are Security and the venue owner aligned on the exception process?</t>
  </si>
  <si>
    <t>Sports, Security</t>
  </si>
  <si>
    <t>Sports Department Operating Plan, Security Policy &amp; Procedure, Zone Operating Plan</t>
  </si>
  <si>
    <t>2.12.01</t>
  </si>
  <si>
    <t>12. Main Stage</t>
  </si>
  <si>
    <t>Two programme types at the Main Stage: free-for-all (first-come-first-served) and prebooked (stronger control and queueing). Confirm how early visitors can access the space for free-flow programmes.</t>
  </si>
  <si>
    <t>Crowd Management, Venue Management,</t>
  </si>
  <si>
    <t>Crowd Management Department Operating Plan, Crowd Management Policy &amp; Procedure</t>
  </si>
  <si>
    <t>2.12.02</t>
  </si>
  <si>
    <t>Main Stage is primarily standing-only; a certain number of seats is under discussion for theatre performances and specific programme needs.</t>
  </si>
  <si>
    <t>C &amp; P Entertainment, Venue Management, Crowd Management</t>
  </si>
  <si>
    <t>Entertainment Department Operating Plan, Zone Operating Plan</t>
  </si>
  <si>
    <t>2.12.03</t>
  </si>
  <si>
    <t>Designated accessibility space confirmed at the Main Stage; no general priority zones beyond that.</t>
  </si>
  <si>
    <t>Guest Services Department Operating Plan, Guest Services Policy &amp; Procedure, Zone Operating Plan</t>
  </si>
  <si>
    <t>2.12.04</t>
  </si>
  <si>
    <t>Two toilets adjacent to the Main Stage (nearest ~45m, next ~75m per transcript); flagged as potentially insufficient for large crowds. Evaluate need for additional facilities.</t>
  </si>
  <si>
    <t>Crowd Management, Venue Management, Cleaning &amp; Waste</t>
  </si>
  <si>
    <t>CAW Department Operating Plan, Zone Operating Plan</t>
  </si>
  <si>
    <t>2.12.05</t>
  </si>
  <si>
    <t>Last performance ends by approximately 23:00 depending on programme; transport (buses/taxis) will wait if a concert runs late. Further discussion is required on delay, postponement and cancellation policy and procedure</t>
  </si>
  <si>
    <t xml:space="preserve">Venue Management, Transport &amp; Mobility Operations, Crowd Management, </t>
  </si>
  <si>
    <t>TMO Department Operating Plan, C&amp;P Entertainment Policy &amp; Procedure</t>
  </si>
  <si>
    <t>2.12.06</t>
  </si>
  <si>
    <t xml:space="preserve">Seats in the sport venue have sightline to the Main Stage - confirm whether this is factored into Main Stage capacity, crowd and programming plans and is there an alignment with Sport in terms of utilization of those seats. </t>
  </si>
  <si>
    <t>Crowd Management, Sports, Venue Management</t>
  </si>
  <si>
    <t>Crowd Management Department Operating Plan, Sports Department Operating Plan, Zone Operating Plan</t>
  </si>
  <si>
    <t>O.1.01</t>
  </si>
  <si>
    <t>Overarching &amp; Other Observations</t>
  </si>
  <si>
    <t>Media accreditation: lists to be provided in advance by Media Reps. Define accreditation of individual equipment items and conditions on what can be filmed; official media conditions likely to drive filming restrictions.</t>
  </si>
  <si>
    <t>Media, Security</t>
  </si>
  <si>
    <t>Media Department Operating Plan, Media Policy &amp; Procedure</t>
  </si>
  <si>
    <t>O.1.02</t>
  </si>
  <si>
    <t>Radio spectrum agency (Rattle): two permanent offices plus one mobile unit on site for tagging frequency-licensed radio devices. Tagging applies only to frequency-licensed devices, not visitor laptops.</t>
  </si>
  <si>
    <t>Government Authorities, Security</t>
  </si>
  <si>
    <t>PLAN TBC - may sit under Stakeholder &amp; Government Coordination.  |  [REVIEW] owning plan was already marked TBC - confirm the governing document.</t>
  </si>
  <si>
    <t>O.1.03</t>
  </si>
  <si>
    <t>Public address messaging content: time, weather, and directional information, in multiple languages. Background music separate from public messaging; pin down ownership of public messaging alongside the PA ownership question.</t>
  </si>
  <si>
    <t>Venue Management Department Operating Plan, Venue Management Policy &amp; Procedure, Zone Operating Plan, Expo Site Operating Plan</t>
  </si>
  <si>
    <t>O.1.04</t>
  </si>
  <si>
    <t>Dedicated group lanes at screening: when a guest group is not present during busy periods, the lane reverts to general visitor flow.</t>
  </si>
  <si>
    <t>O.1.05</t>
  </si>
  <si>
    <t>Incident/Issue Management System vs C4i dispatch: during the medical discussion it was suggested the incident management system would be used to dispatch the medical team in emergency cases, which conflicts with C4i standards. The correct workflow is to alert the medical team via radio or phone (the quickest available channel) first, and log the incident in the system afterwards; the system exists for awareness, monitoring, and audit trail, not dispatch. Develop a C4i plan and deliver training to ensure issues and incidents during the event are actioned and managed properly.</t>
  </si>
  <si>
    <t>Venue Management, C4i</t>
  </si>
  <si>
    <t xml:space="preserve"> C4i Plan &amp; Framework, Zone Operating Plan, Expo Site Oprerating Plan</t>
  </si>
  <si>
    <t>O.1.06</t>
  </si>
  <si>
    <t>Central development of Radio Fleetmap required to reflect the C4i Framework and requirements of all the Departments and delivery partners.</t>
  </si>
  <si>
    <t>Venue Management Department Operating Plan, Venue Management Policy &amp; Procedure, C4i ConOps</t>
  </si>
  <si>
    <t>O.1.07</t>
  </si>
  <si>
    <t>Power/internet outage contingency at PSAs: UPS and generators available as backup; handheld scanning devices used if systems go down.</t>
  </si>
  <si>
    <t>IT, Security</t>
  </si>
  <si>
    <t>Session 2.</t>
  </si>
  <si>
    <t>O.1.08</t>
  </si>
  <si>
    <t>Egress management for mass departures (e.g. 20,000 visitors leaving at midnight): Security developing a plan using barriers to guide flows in a controlled manner. Track to completion.</t>
  </si>
  <si>
    <t>Security, Crowd Management</t>
  </si>
  <si>
    <t>Crowd Management Department Operating Plan, Crowd Management Policy &amp; Procedure, Zone Operating Plan</t>
  </si>
  <si>
    <t>O.1.09</t>
  </si>
  <si>
    <t>High-volume ingress surge scenario raised (e.g. 5,000 visitors arriving simultaneously for a performer); confirm the management plan.</t>
  </si>
  <si>
    <t>Security, Crowd Management, Entertainment, Ticketing, Venue Management</t>
  </si>
  <si>
    <t>O.1.10</t>
  </si>
  <si>
    <t>Death at venue scenario raised; procedure to be defined and locked. This incident would fall under crisis and emergency situation</t>
  </si>
  <si>
    <t xml:space="preserve">Venue Management, Security, Media, Marketing, </t>
  </si>
  <si>
    <t>O.1.11</t>
  </si>
  <si>
    <t>Pets not permitted on site; service dogs only.</t>
  </si>
  <si>
    <t>Security Policy &amp; Procedure, Prohibited &amp; Restricted Items Policy</t>
  </si>
  <si>
    <t>O.1.12</t>
  </si>
  <si>
    <t>Coordinate with PCU to align actions captured in their tracker with the internal log to avoid duplication. Position reported in session: 26 unresolved, 6 assumptions, 41 needing clarification, 9 risks, 1 open issue.</t>
  </si>
  <si>
    <t>PCU</t>
  </si>
  <si>
    <t>O.1.13</t>
  </si>
  <si>
    <t>All departments to submit Departmental Operations Plans (DOP) including a slide on best practice zone operations before the next session; Session 3 focuses on departmental relations.</t>
  </si>
  <si>
    <t>All Departments</t>
  </si>
  <si>
    <t>This has been raised and all departments except F&amp;B has submitted and presented their Department Operating Plans for the Best Practice Zone</t>
  </si>
  <si>
    <t>O.1.14</t>
  </si>
  <si>
    <t>Further define crowd management rules and role boundaries between volunteers and security, particularly around capacity control and zone switching.</t>
  </si>
  <si>
    <t>Security, Workforce &amp; Volunteers</t>
  </si>
  <si>
    <t>O.2.17</t>
  </si>
  <si>
    <t>Incident management platform positioned as the broadcast/search mechanism in the lost child procedure, repeating the dispatch misconception logged in O.05: action via the quickest available channel first, platform for awareness, monitoring, and audit trail. Recurring pattern across Sessions 1-2; reinforces the need for the C4i plan and training to correct system usage before further procedures are built on it.</t>
  </si>
  <si>
    <t>Session 2. Links to O.05 and 2.6.08.</t>
  </si>
  <si>
    <t>O.2.18</t>
  </si>
  <si>
    <t>Communication tool sprawl: push-to-talk application, IMS (incident management platform), and radio all referenced within single procedures with no defined communications architecture tying them together. Define the C4i communications architecture and channel hierarchy per use case.</t>
  </si>
  <si>
    <t>O.2.19</t>
  </si>
  <si>
    <t>No single source of truth for site-wide operating hours: visitor center hours conflicted within Session 2, F&amp;B end times and last orders unclear, and hours differ across services. Establish a master operating hours schedule with a single owner.
Gates opening time was mentioned wrong by 8 people in the Mentimeter survey proving misalignment in basic operational matters.</t>
  </si>
  <si>
    <t>MZE Governance (process), Daily Run Sheet (DRS)</t>
  </si>
  <si>
    <t>O.2.20</t>
  </si>
  <si>
    <t>Application is the presumed single answer for wayfinding, programme, queue times, feedback, and notifications, while map integration, QMS, and menu content remain in development. No visitor-facing contingency captured for app failure or features not ready at opening. Define fallback (hard copy, signage, staffed points) and a feature readiness cutoff.</t>
  </si>
  <si>
    <t>Guest Services, Venue Management, Pavilions Management, Hosting &amp; Hospitality, Marketing, IT</t>
  </si>
  <si>
    <t xml:space="preserve">Zone Operating Plan, Expo Site Operating Plan </t>
  </si>
  <si>
    <t>O.2.21</t>
  </si>
  <si>
    <t>Heat and shade mitigation not addressed site-wide: sport venue seating unshaded, Main Stage standing-only, summer operations. Confirm shade provision, water points, and heat-related medical planning across outdoor visitor areas.</t>
  </si>
  <si>
    <t>Guest Services, Venue Management, Sports, Crowd Management, Workforce</t>
  </si>
  <si>
    <t>Guest Services Department Operating Plan, Venue Management Department Operating Plan, Guest Services Policy &amp; Procedure, Workforce Policy &amp; Procedure, Venue Management Policy &amp; Procedure, Zone Operating Plan</t>
  </si>
  <si>
    <t>3.T.01</t>
  </si>
  <si>
    <t>Transport &amp; Mobility</t>
  </si>
  <si>
    <t>~85% of visitors expected to use personal car and public transport. Seven dedicated Expo bus lines from across Belgrade plus three feeder/shuttle lines from the Beograd railway hub (~1,500m from site). All Expo lines are part of public transport and free of charge.</t>
  </si>
  <si>
    <t>3.T.02</t>
  </si>
  <si>
    <t>New Beograd railway line expected operational from April. Bus headway ~10 min, train headway ~15 min; feeder buses every 15 min on a ~30 min journey from the train station to the Best Practice entrance. Micromobility (bikes/scooters) available from railway stations, ~8 min to Entry B.</t>
  </si>
  <si>
    <t>3.T.03</t>
  </si>
  <si>
    <t>~5,500 parking spaces around the Best Practice Zone (B1/B2/B3), plus five zones near National Stadium, including EV charging and accessible spaces. Parking open 24/7; staffed 09:00-01:00 weekdays and until 02:00 Fri/Sat; pay machines available outside staffed hours. Digital signage shows real-time space availability.</t>
  </si>
  <si>
    <t>TMO Department Operating Plan, TMO Policy &amp; ProcedureZone Operating Plan, Expo Site Operating Plan</t>
  </si>
  <si>
    <t>Some conversations about some of the parking spaces having manual(staffed) exits. Needs clarification if all parking spaces have payment machines. If not, how the cars can exit remaining parking spaces.</t>
  </si>
  <si>
    <t>3.T.04</t>
  </si>
  <si>
    <t>City directional signage being developed with the city (airport-style highway/public road signage); space-capacity information to be added closer to the event.</t>
  </si>
  <si>
    <t>TMO Department Operating Plan, Expo Site Operating Plan</t>
  </si>
  <si>
    <t>3.T.05</t>
  </si>
  <si>
    <t>Stewards deployed in two shifts (08:30-16:30 and 16:30-00:30); ~100 marshals across parking zones in static positions. Steward hours can flex up for special/peak days. No shift overlap currently planned - flag for handover continuity.</t>
  </si>
  <si>
    <t>Transport &amp; Mobility Operations, Workforce &amp; Volunteers</t>
  </si>
  <si>
    <t>TMO Department Operating Plan, Workforce Policy &amp; Procedure</t>
  </si>
  <si>
    <t>3.T.06</t>
  </si>
  <si>
    <t>Bus service hours 06:00-01:00 (until 02:00 Fri/Sat). Bus lines were originally 09:00 start, extended to 06:00. Unresolved for staff needing to arrive before the potential early arrivals.</t>
  </si>
  <si>
    <t>3.T.07</t>
  </si>
  <si>
    <t>Confirm latest volunteer/steward working time; currently planned to ~01:00 but volunteer permission after 22:00 needs confirmation. Workforce shuttle options under discussion, hours from ~06:00 to what hour?</t>
  </si>
  <si>
    <t>Volunteers</t>
  </si>
  <si>
    <t>Volunteers Department Operating Plan, Volunteers Policy &amp; Procedure</t>
  </si>
  <si>
    <t>3.T.08</t>
  </si>
  <si>
    <t>Staff welfare in parking under development: umbrellas, water, nearest-toilet provision for static marshals. Confirm shade structures for static parking marshals.</t>
  </si>
  <si>
    <t>TMO Department Operating Plan, Workforce Policy &amp; Procedure, Volunteers Policy &amp; Procedure</t>
  </si>
  <si>
    <t>3.T.09</t>
  </si>
  <si>
    <t>Guest Services contact centre holds transport information (already shared with the guest services team) and AI-assisted tools can provide transport info to visitors.</t>
  </si>
  <si>
    <t>Guest Services, Transport</t>
  </si>
  <si>
    <t>3.T.11</t>
  </si>
  <si>
    <t>Confirmed public transport line timings change during operations, particularly on late-closure/event days (e.g. extending train hours to 01:00).</t>
  </si>
  <si>
    <t>Mobility Operations</t>
  </si>
  <si>
    <t>TMO Department Operating Plan, TMO Policy &amp; Procedure</t>
  </si>
  <si>
    <t>3.S.01</t>
  </si>
  <si>
    <t>Security scope begins at the parking area (entrance and ticketing zone) and covers the full visitor journey through screening onto site. Parking role: patrol, maintain awareness, support incidents. Security is 24/7 on the outer perimeter; parking-area security hours align with transport hours.</t>
  </si>
  <si>
    <t>Security Department Operating Plan</t>
  </si>
  <si>
    <t>3.S.02</t>
  </si>
  <si>
    <t>~300-person waiting area per gate before PSA. Throughput ~2,340 visitors/hour across 9 screening lines (~260 per line per hour), excluding VIP and accessible lanes.</t>
  </si>
  <si>
    <t>Has been raised as question during Visitor Journey session and been addressed during DOP Session of the Model Zone Exercise</t>
  </si>
  <si>
    <t>3.S.03</t>
  </si>
  <si>
    <t>Dedicated lanes for VIP, persons with disabilities, and organised groups (e.g. school groups); Point D is the school assembly point, with crowd management supporting group movement through the PSA.</t>
  </si>
  <si>
    <t>Security Department Operating Plan, Security Policy &amp; Procedure, Guest Services Department Operating Plan, Zone Operating Plan</t>
  </si>
  <si>
    <t>3.S.04</t>
  </si>
  <si>
    <t>Three operational modes: Normal/Standard (green), Peak, and Degraded (emergency). Mode changes are triggered by the MOC. Confirm whether mode changes apply across all departments simultaneously and how they are communicated.</t>
  </si>
  <si>
    <t>Security, Venue Management, C4i</t>
  </si>
  <si>
    <t>Security Department Operating Plan, Security Policy &amp; Procedure, C4i ConOps</t>
  </si>
  <si>
    <t>3.S.05</t>
  </si>
  <si>
    <t>Rejection lanes and discreet search areas planned at the PSAs for visitors who fail screening or need a private search.</t>
  </si>
  <si>
    <t>3.S.06</t>
  </si>
  <si>
    <t>Two rapid response teams (~4-5 personnel each, security + medical incident response) stationed at the green office areas near the second Point D, deployable for incidents, crowd density spikes, or urgent redirection.</t>
  </si>
  <si>
    <t>Security Department Operating Plan, Security Policy &amp; Procedure, Venue Management Department Operating Plan, Venue Management Policy &amp; Procedure</t>
  </si>
  <si>
    <t>3.S.07</t>
  </si>
  <si>
    <t>Prohibited-item signage and house rules (including no pets except medical service dogs) to be posted at the start of each PSA line and all entrances.</t>
  </si>
  <si>
    <t>3.S.08</t>
  </si>
  <si>
    <t>IPs and workforce use Entrance A / Entrance E (accreditation-only) and will not use Entrance B. Confirm whether accredited people can enter via regular entrances; workforce entrance still under review.</t>
  </si>
  <si>
    <t>Security, Accreditation</t>
  </si>
  <si>
    <t>Accreditation Department Operating Plan, Workforce Department Operating Plan, Workforce Policy &amp; Procedure</t>
  </si>
  <si>
    <t>Live notes show Entrance A (Daryl) and Entrance E (Teymur) - confirm the correct accreditation entrance.</t>
  </si>
  <si>
    <t>3.S.09</t>
  </si>
  <si>
    <t>Clarify whether supervision of queue lines/queue formation on the entrance promenade is a Security or Crowd Management responsibility; role boundary raised by Daryl.</t>
  </si>
  <si>
    <t>Crowd Management</t>
  </si>
  <si>
    <t>3.S.10</t>
  </si>
  <si>
    <t>Map crowd management coverage for the 6 Expo street-performance points.</t>
  </si>
  <si>
    <t>Security, Cultural, Music &amp; Entertainment</t>
  </si>
  <si>
    <t>3.S.11</t>
  </si>
  <si>
    <t>Ownership of the sports court / playground misuse policy raised again but unresolved from a previous exercise. Agree the owning department.</t>
  </si>
  <si>
    <t>Sports, Security, Venue Management</t>
  </si>
  <si>
    <t>Sports Department Operating Plan, Sports Policy &amp; Procedure, Security Policy &amp; Procedure</t>
  </si>
  <si>
    <t>3.K.01</t>
  </si>
  <si>
    <t>Ticketing covers ticket purchase, QR validation at gate, back office, inventory management, and issue resolution. Two work streams: operational/back-office (two shifts aligned to exhibition hours) and commercial/sales (one shift). Box office functions: sales, collection, troubleshooting, cash handling.</t>
  </si>
  <si>
    <t>3.K.02</t>
  </si>
  <si>
    <t>No ticket vending machines - decision reversed and confirmed; box office capacity being reassessed. Tickets sold by cash and card; can always be bought online 24/7.</t>
  </si>
  <si>
    <t>3.K.03</t>
  </si>
  <si>
    <t>Free ticket collection at box office for children under 7, disability companions, and school programmes.</t>
  </si>
  <si>
    <t>3.K.04</t>
  </si>
  <si>
    <t>Proposed sales hours 09:00-19:00; gates/box offices open 30 min earlier; closing shift reconciles until midnight (two shifts, ~1 hr cross-over). Last ticket sale time at box office not yet confirmed.</t>
  </si>
  <si>
    <t>3.K.05</t>
  </si>
  <si>
    <t>Hard ticket check (physical QR scanning) ownership under discussion - recently indicated as Ticketing, but presenter noted it may fit better with Security/Crowd Management. Assign ownership.</t>
  </si>
  <si>
    <t>Ticketing, Security, Guest Services, Crowd Management</t>
  </si>
  <si>
    <t>Ticketing Department Operating Plan, Security Department Operating Plan, Guest Services Department Operating Plan, Ticketing Policy &amp; Procedure, Security Policy &amp; Procedure, Guest Services Policy &amp; Procedure</t>
  </si>
  <si>
    <t>Ownership-vs-affected distinction: decide owning department.</t>
  </si>
  <si>
    <t>3.K.06</t>
  </si>
  <si>
    <t>64 scanning devices available; IT working to increase capacity and battery supply. Define scanner charging and battery-swap procedure. If scanners fail, confirm whether a soft ticket check can be implemented as fallback.</t>
  </si>
  <si>
    <t>Ticketing, IT</t>
  </si>
  <si>
    <t>3.K.07</t>
  </si>
  <si>
    <t>Capacity management: if the site reaches full capacity, entry may be delayed or halted; tickets are open-date so no refund is legally required, but visitor communication/disclaimers are needed. Venue capacity coordination must keep Ticketing in the loop; confirm the threshold numbers. Capacity tracking process and technology needs further clarification.</t>
  </si>
  <si>
    <t>Ticketing, Crowd Management, Venue Management, Marketing, Media</t>
  </si>
  <si>
    <t>Crowd Management Department Operating Plan, Crowd Management Policy &amp; Procedure, Zone Operating Plan, Expo Site Operating Plan, C4i ConOps</t>
  </si>
  <si>
    <t>3.K.08</t>
  </si>
  <si>
    <t>Flexible ticket strategy: multi-day (non-consecutive) tickets and dynamic pricing (e.g. hot/bad-weather "rainy day" tickets) planned to maximise visitation. First-come-first-served to be communicated to visitors.</t>
  </si>
  <si>
    <t xml:space="preserve">Ticketing, </t>
  </si>
  <si>
    <t>Status has been changed because strategy on this hasn't been developed.</t>
  </si>
  <si>
    <t>3.K.09</t>
  </si>
  <si>
    <t>Cash movement/handling process to be finalised - likely a third party; confirm whether an on-site bank can be used and whether an escorted service is needed.</t>
  </si>
  <si>
    <t>Security, Commercial</t>
  </si>
  <si>
    <t>3.K.10</t>
  </si>
  <si>
    <t>Ticket radio requirement between Ops and Ticketing to be confirmed; supervisors to hold radios for wider Expo comms. Confirm who captures all radio requests (fleet mapping).</t>
  </si>
  <si>
    <t>Ticketing, Venue Management, C4i</t>
  </si>
  <si>
    <t>Fleet Map, C4i ConOps, Venue Management Policy &amp; Procedure</t>
  </si>
  <si>
    <t>3.K.11</t>
  </si>
  <si>
    <t>Ticket box office accessibility not accounted for by Venue Management: no ramp or lowered window for wheelchair users in current design. Review and address.</t>
  </si>
  <si>
    <t>Ticketing, Guest Services, Design &amp; Construction</t>
  </si>
  <si>
    <t>Ticketing Department Operating Plan, Guest Services Policy &amp; Procedure</t>
  </si>
  <si>
    <t>3.K.12</t>
  </si>
  <si>
    <t>No shading provision planned at ticket box office queuing areas. Resolve.</t>
  </si>
  <si>
    <t>Links to site-wide heat/shade theme (S2 2.11.04).</t>
  </si>
  <si>
    <t>3.G.01</t>
  </si>
  <si>
    <t>Guest Services scope: visitor information, lost &amp; found, contact centre, welfare, rest areas, baby changing, wheelchair/stroller rental, complaint resolution, disability services, school/tour group services, and lockers. Info point and school-group support sit outside the perimeter prior to PSA.</t>
  </si>
  <si>
    <t>3.G.02</t>
  </si>
  <si>
    <t>Info points near key entrances, each with 4 workstations, staffed across two shifts.</t>
  </si>
  <si>
    <t>3.G.03</t>
  </si>
  <si>
    <t>Wheelchair/equipment reservation available in advance via the Expo app/website; a volunteer delivers to the visitor at the parking area on arrival. Wheelchair rental available at only one of the two visitor centres.</t>
  </si>
  <si>
    <t>3.G.04</t>
  </si>
  <si>
    <t>Lost children: child ID bracelets/necklaces offered to parents of young children; the bracelet can carry information to support reunification. Not clear if it's only offered for people coming to visitor centre or at PSAs. If at PSAs who's responsible for this?</t>
  </si>
  <si>
    <t>3.G.05</t>
  </si>
  <si>
    <t>Re-entry process using paper bracelets: purchase of the wristbands and distribution at exits is currently not assigned to anyone. Define the process and assign ownership across Security, Ticketing, and Guest Services.</t>
  </si>
  <si>
    <t>Guest Services, Ticketing, Security</t>
  </si>
  <si>
    <t>3.L.01</t>
  </si>
  <si>
    <t>Logistics</t>
  </si>
  <si>
    <t>Logistics coordinates movement of goods and equipment for all participants (distinct from transport, which moves people); no specific guest group - supports all. Scope: logistics centre, vehicle flow, delivery coordination, participant support, returnable packaging, customs on site, freight forwarding, warehouse services.</t>
  </si>
  <si>
    <t>Logistics Department Operating Plan, Logistics Policy &amp; Procedure</t>
  </si>
  <si>
    <t>3.L.02</t>
  </si>
  <si>
    <t>Construction phase from 15 October: deliveries direct to pavilions during the day, all vehicle sizes allowed, customs on site. Security sweep ~16 April begins the last-mile regime; afterwards only small trucks/vans with detailed x-ray checks. Delivery Management System (DMS) requires advance booking against an already-accredited driver.</t>
  </si>
  <si>
    <t>3.L.03</t>
  </si>
  <si>
    <t>During exhibition, deliveries restricted to off-hours (night). Proposed window ~02:00-07:00 to ensure vehicles are clear before visitors arrive; alignment not yet agreed across departments. Confirm and align the single off-hours window.</t>
  </si>
  <si>
    <t>Logistics, Cleaning &amp; Waste, Facilities Management, Security, International Participants, Non-Official Participants</t>
  </si>
  <si>
    <t>Department Operating Plans, Department Daily Run Sheet, Zone Operating Plan, Expo Site Operating Plan</t>
  </si>
  <si>
    <t>3.L.04</t>
  </si>
  <si>
    <t>All vehicles require accreditation (vehicle and driver) plus a reserved time slot; no vehicle enters without both. Parking spots planned per venue for loading/unloading, each coded and mapped, with time slots; Logistics oversees supplier departure. Confirm whether there are time limitations on vehicle movements beyond the off-hours window.</t>
  </si>
  <si>
    <t>Logistics, Accreditation</t>
  </si>
  <si>
    <t>Logistics Department Operating Plan, Accreditation Department Operating Plan, Logistics Policy &amp; Procedure, Accreditation Policy &amp; Procedure</t>
  </si>
  <si>
    <t>3.L.05</t>
  </si>
  <si>
    <t>Contingency for late deliveries managed case-by-case: urgent prioritised, non-urgent rescheduled to the next slot. Special items (e.g. museum artefacts, cultural heritage) communicated in advance and may bypass the standard last-mile regime. Site Hands support movement of materials.</t>
  </si>
  <si>
    <t>3.L.06</t>
  </si>
  <si>
    <t>No remote/off-site search area for logistics deliveries - all searched on site; potential jamming and delays. Assess need for an off-site search capability.</t>
  </si>
  <si>
    <t>Logistics, Security</t>
  </si>
  <si>
    <t>Logistics Department Operating Plan, Logistics Policy &amp; Procedure, Security Department Operating Plan, Security Policy &amp; Procedure</t>
  </si>
  <si>
    <t>3.L.07</t>
  </si>
  <si>
    <t>Full logistics DOP presentation scheduled for 18 August during IDR Forum</t>
  </si>
  <si>
    <t>3.V.01</t>
  </si>
  <si>
    <t>Venue Management ensures each venue is ready before site opens and coordinates all 10 operations departments; takes the site over from design &amp; construction before Expo opens. Best Practice split into 4 sectors with sector managers; 44 venues in Best Practice. Sponsor venue receives FM services only.</t>
  </si>
  <si>
    <t>3.V.02</t>
  </si>
  <si>
    <t>Clarify terminology: why "Area Manager" not "Zone Manager", and the sector/zone/venue distinction.</t>
  </si>
  <si>
    <t>Venue Management Department Operating Plan, Zone Operating Plan, Expo Site Operating Plan, Expo Codeset</t>
  </si>
  <si>
    <t>naming/hierarchy clarification.Hierarchy been presented by S21 during Model Zone Exercise session 5.</t>
  </si>
  <si>
    <t>3.V.03</t>
  </si>
  <si>
    <t>Daily venue readiness checklist completed on the incident management platform, submitted by 08:30 each morning; venues shown green (ready) or red (not ready) on a live map. Some checklist items are blockers that can prevent opening; escalated to area/site manager for the final decision.</t>
  </si>
  <si>
    <t>Status has been changed because further discussion needed whether IMS should be used for the checklist completion pre gates opening</t>
  </si>
  <si>
    <t>3.V.04</t>
  </si>
  <si>
    <t>Visitor-facing communication for temporarily closed venues is not yet solved (internal radio/MOC comms are clear; video signage is limited in Zone E). Develop a visitor communication strategy for closed venues.</t>
  </si>
  <si>
    <t>Marketing, Guest Services, Pavilions Management, Non-Official Participants, C4i</t>
  </si>
  <si>
    <t>Marketing Department Operating Plan, Guest Services Department Operating Plan, Pavilions Management Department Operating Plan, Non-Official Participants Department Operating Plan,</t>
  </si>
  <si>
    <t>3.V.05</t>
  </si>
  <si>
    <t>Site closure and gate-closing procedure still under development, sitting under the security and crowd management operational plan. Action assigned to Teymur to review the sweep and gate-closing procedure.</t>
  </si>
  <si>
    <t>3.V.06</t>
  </si>
  <si>
    <t>Production Management falls under Venue Management responsibility at event time. Dedicated offices per zone for area/sector managers; backstage offices near Main Stage and Symphony Stage.</t>
  </si>
  <si>
    <t>3.P.01</t>
  </si>
  <si>
    <t>Pavilion Management</t>
  </si>
  <si>
    <t>Four Expo-led pavilions for now: Galeria Ludus, Expo Tech, Global Pavilion, Women’s Pavilion. Dual leadership per pavilion: Pavilion Manager (visitor experience: concept, hosting, programming, content) and Venue Manager (operational delivery: daily ops, security, crowd, FM, incident response); complementary roles with joint readiness-checklist responsibility.</t>
  </si>
  <si>
    <t>Pavilions Management, Venue Management</t>
  </si>
  <si>
    <t>Pavilions Management Department Operating Plan, Venue Management Department Operating Plan, Venue Operating Plan, Zone Operating Plan</t>
  </si>
  <si>
    <t>3.P.02</t>
  </si>
  <si>
    <t>Protocol focal point embedded in each pavilion to manage VIP delegations and state visits, coordinated with the Protocol department. For thematic pavilions, Guest Services provides general pavilion information.</t>
  </si>
  <si>
    <t>Pavilions Management, Protocol</t>
  </si>
  <si>
    <t>Pavilions Management Department Operating Plan, Venue Operating Plan, Zone Operating Plan</t>
  </si>
  <si>
    <t>3.P.03</t>
  </si>
  <si>
    <t>Identify and appoint pavilion managers for Zone E (target: within the next few months).</t>
  </si>
  <si>
    <t>Pavilions Management</t>
  </si>
  <si>
    <t>Status has been changed from Risk to Needs Further Clarification, recruitment is an issue across all departments</t>
  </si>
  <si>
    <t>3.P.04</t>
  </si>
  <si>
    <t>Pavilion staff start times to be confirmed: currently ~09:00, but Venue Management requests earlier arrival to ensure the readiness checklist is completed before gates open.</t>
  </si>
  <si>
    <t>Both note-takers flagged the readiness-vs-start-time gap.</t>
  </si>
  <si>
    <t>3.C.01</t>
  </si>
  <si>
    <t>Cultural, Music &amp; Entertainment</t>
  </si>
  <si>
    <t>Programme goal: defend the Expo "play" theme and raise local/regional cultural visibility while enabling international cooperation. Sourced from three channels: international participants, local cultural scene (Ministry of Culture open call), and commissioned/procured agencies. Cultural Music and Entertainment departments are being merged. KPI: 35 concerts.</t>
  </si>
  <si>
    <t>Cultural, Music &amp; Entertainment Department Operating Plan</t>
  </si>
  <si>
    <t>3.C.02</t>
  </si>
  <si>
    <t>Three sub-teams aligned to thematic months: Power Play, Play for Progress, Play Together. Event manager model: one person follows each project from contract signing to delivery (account-manager style) rather than fixed shift roles.</t>
  </si>
  <si>
    <t>Cultural, Music &amp; Entertainment Department Operating Plan, Zone Operating Plan</t>
  </si>
  <si>
    <t>3.C.03</t>
  </si>
  <si>
    <t>First technical riders expected from local programmes in October (after Ministry of Culture confirms in September); international participants TBD on MS portal opening. Site Hand requirements not yet visible. Organise a dedicated workshop for technical riders and the production/procurement process.</t>
  </si>
  <si>
    <t>Cultural, Music &amp; Entertainment, Logistics</t>
  </si>
  <si>
    <t>3.R.01</t>
  </si>
  <si>
    <t>Ceremonies covers opening/closing ceremonies (in planning), National Days, Special Days (IGOs), Honour Days (sponsors), and International Days (UN observances). Opening/closing delivered turnkey via a procured production company (Balich), with ceremonies as the delivery point of contact.</t>
  </si>
  <si>
    <t>C&amp;P Ceremonies Department Operating Plan, Protocol Department Operating Plan</t>
  </si>
  <si>
    <t>3.R.02</t>
  </si>
  <si>
    <t>National Day Stage: semi-indoor, capacity ~300; two ceremonies per day (10:00-11:00 and 15:00-16:00) across 93 exhibition days. Production coordinators on on-site shifts; a senior producer at HQ also covers international days; an event agency planned to support international/national/honour days.</t>
  </si>
  <si>
    <t>Confirms S2 item 2.10.09 (300 seats, invitee ceremonies).</t>
  </si>
  <si>
    <t>3.R.03</t>
  </si>
  <si>
    <t>Ceremonies coordinates with venue management, and protocol but is not responsible for managing delegations (that is the Protocol department role).</t>
  </si>
  <si>
    <t xml:space="preserve">Ceremonies, </t>
  </si>
  <si>
    <t>C&amp;P Ceremonies Department Operating Plan</t>
  </si>
  <si>
    <t>3.SP.01</t>
  </si>
  <si>
    <t>Sports acts as a monitoring and coordination body, not the owner of the sport courts or programme; connects national federations with internal departments. In Zone E: one court for commercial/sponsor use (monitored not owned), one for international participants, one for national federations.</t>
  </si>
  <si>
    <t>3.SP.02</t>
  </si>
  <si>
    <t>Sports provides 14 volunteers per court (7 morning, 7 afternoon) plus a coordinator. Daily checks confirm court cleanliness and order before gates open; issues logged and resolved to prevent recurrence. Escalation ladder: coordinator to manager to MOC/board level.</t>
  </si>
  <si>
    <t>Sports, Workforce &amp; Volunteers</t>
  </si>
  <si>
    <t>3.SP.03</t>
  </si>
  <si>
    <t>Cleaning and waste responsibility for the sponsor-owned sport court needs clarification; indicated in session that the Cleaning &amp; Waste department cleans it. Confirm and lock ownership.</t>
  </si>
  <si>
    <t>Sports, Commercial, Cleaning &amp; Waste</t>
  </si>
  <si>
    <t>Sports Department Operating Plan, Cleaning &amp; Waste Department Operating Plan, Sport Policy &amp; Procedure, Zone Operating Plan</t>
  </si>
  <si>
    <t>Cleaning and Waste confirmed that they will be cleaning the sport courts.</t>
  </si>
  <si>
    <t>O.17</t>
  </si>
  <si>
    <t>Recurring radio fleet-mapping gap: multiple departments (Ticketing, Transport, Operations) raised who captures and owns radio requests. Central Radio Fleetmap must reflect the C4i framework across all departments.</t>
  </si>
  <si>
    <t>Venue Management Department Operating Plan, Venue Management Policy &amp; Procedure, C4i ConOps, Fleet Map</t>
  </si>
  <si>
    <t>O.18</t>
  </si>
  <si>
    <t>MOC confirmed as the trigger authority for operational mode changes (Normal/Peak/Degraded) and the top of multiple escalation ladders (Sports, venue readiness blockers, capacity halts). Define these thresholds, triggers, and cross-department propagation in the C4i/MOC operating model.</t>
  </si>
  <si>
    <t>C4i</t>
  </si>
  <si>
    <t>C4i ConOps</t>
  </si>
  <si>
    <t>O.19</t>
  </si>
  <si>
    <t>Incident management platform now serves as the venue readiness checklist tool (Venue Management, 08:30 daily) and the live green/red venue map, in addition to lost-child broadcast. Confirm platform scope and ensure usage aligns with C4i standards (awareness/audit vs dispatch).</t>
  </si>
  <si>
    <t>Venue Management, C4i, IT</t>
  </si>
  <si>
    <t>O.20</t>
  </si>
  <si>
    <t>Site-wide heat and shade provision recurs across departments: no shading at ticket box office queues, static parking marshals need shade/water, sport seating unshaded. Confirm a coordinated shade, water, and heat-mitigation approach across outdoor visitor and staff areas.</t>
  </si>
  <si>
    <t>Venue Management, Workforce</t>
  </si>
  <si>
    <t>Venue Management Department Operating Plan, Workforce Policy &amp; Procedure, Zone Operating Plan, Expo Site Operating Plan</t>
  </si>
  <si>
    <t>O.21</t>
  </si>
  <si>
    <t>Cross-department shift and working-hours alignment gap: no steward shift overlap planned, volunteer late-hours permission unconfirmed, entertainment shifts potentially 12 hours vs legislation, staff pre-06:00 arrival unresolved. Review workforce hours and handover continuity across departments.</t>
  </si>
  <si>
    <t>Workforce, Volunteers, All Departments</t>
  </si>
  <si>
    <t>Workforce Department Operating Plan, Workforce Policy &amp; Procedure</t>
  </si>
  <si>
    <t>O.22</t>
  </si>
  <si>
    <t>Departmental ownership discipline: participants noted speaking out of turn (e.g. venue management commenting on transport/cleaning), which undermines departmental ownership. Reinforce single-owner accountability in facilitation and in the RACI.</t>
  </si>
  <si>
    <t>4.F.01</t>
  </si>
  <si>
    <t>Session Format &amp; Facilitation</t>
  </si>
  <si>
    <t>Session 4 ran as a tabletop exercise: 6 scenario tables with stationary facilitators (incl. BJ/David, Matt, Simone) and rotating groups of ~5 participants; three rotations before a group debrief and break, two after. Tables deliberately mixed departments (no more than 2-3 from one department). Next session Tuesday, upstairs.</t>
  </si>
  <si>
    <t>4.F.02</t>
  </si>
  <si>
    <t>Correct participants should be operations staff involved in Zone; some attendees (e.g. finance) were not the right audience and could not contribute. Correct audience to be present 100% to maximize the effort and benefit from the sessions.</t>
  </si>
  <si>
    <t>4.F.03</t>
  </si>
  <si>
    <t>Participation uneven (same few people talking); some still view sessions as low-value. Engagement improving slowly. Room flagged as poor (acoustics/noise bleed); upstairs room preferred and to be secured.</t>
  </si>
  <si>
    <t>4.Q.01</t>
  </si>
  <si>
    <t>Opening Quiz &amp; Briefing</t>
  </si>
  <si>
    <t>Opening quiz reinforced the C4i standard: after observing an on-site incident, radioing teams first enables faster response; logging in IMS is for documentation, not the first action. Consistent with the standing MOC/C4i workflow.</t>
  </si>
  <si>
    <t>All Departments, C4i</t>
  </si>
  <si>
    <t>C4i ConOps, Venue Management Policy &amp; Procedure</t>
  </si>
  <si>
    <t>4.Q.02</t>
  </si>
  <si>
    <t>Participant desired future topics: top interests were IP/protocol, Content &amp; Programming, F&amp;B, Security, and Cleaning &amp; Waste.</t>
  </si>
  <si>
    <t>4.Q.03</t>
  </si>
  <si>
    <t>Morning briefing scenario set on Day 12 (Saturday): ground wet from rain, setup began 19:00 prior day, National Day stage performance 22:00-23:00 (~300 expected), visitor forecast 72,600. Crowd marshals to be briefed on wet-ground conditions. Used as the scenario backdrop.</t>
  </si>
  <si>
    <t>Venue Management, Crowd Management</t>
  </si>
  <si>
    <t>4.T1.01</t>
  </si>
  <si>
    <t>Scenario: Flooded Area (Table 1)</t>
  </si>
  <si>
    <t>Flooded-area response worked: marshals confirmed on location by 08:30; "Volna" (truck) identified as the flooding resource; Guest Services to notify that affected parkings are closed; Facilities Management to send suction trucks; Cleaning &amp; Waste follows up. Security and Transport are the main players; MOC monitors via CCTV; mobile crowd management response team deploys.</t>
  </si>
  <si>
    <t>Venue Management, Security,Guest Services, Marketing, Media, Crowd Management, Transport &amp; Mobility Operations, Cleaning &amp; Waste, Facilities Management</t>
  </si>
  <si>
    <t>4.T1.02</t>
  </si>
  <si>
    <t>Gap: no sheltered areas for visitors in outdoor spaces during rain, cold, or heat. Assess provision of shelter across outdoor areas.</t>
  </si>
  <si>
    <t>Venue Management Department Operating Plan, Venue Management Policy &amp; Procedure</t>
  </si>
  <si>
    <t>4.T1.03</t>
  </si>
  <si>
    <t>Bronze-to-silver escalation level discussed for the flooding scenario, with CCTV used to assess severity. Confirm and document the bronze/silver/gold escalation thresholds and who authorises each level.</t>
  </si>
  <si>
    <t>Security Department Operating Plan, Transport &amp; Mobility Operating Plan, C4i</t>
  </si>
  <si>
    <t>C4i ConOps, Security Policy &amp; Procedure</t>
  </si>
  <si>
    <t>Session 4. Command-level escalation model - core C4i.</t>
  </si>
  <si>
    <t>4.T2.01</t>
  </si>
  <si>
    <t>Scenario: Late Delegation Arrival (Table 2)</t>
  </si>
  <si>
    <t>Late government delegation scenario (Monaco National Day): group owner of the delegation arrival protocol (DAP) disputed between Security and Protocol. Assign clear ownership.</t>
  </si>
  <si>
    <t>Protocol, Security</t>
  </si>
  <si>
    <t>Protocol Department Operating Plan, Protocol Policy &amp; Procedure, Security Department Operating Plan, Security Policy &amp; Procedure</t>
  </si>
  <si>
    <t>Status has been changed from risk to confirmed / locked because ownership of the delegations sits with Protocol not Security.</t>
  </si>
  <si>
    <t>4.T2.02</t>
  </si>
  <si>
    <t>Clash risk: the delegation route/schedule may conflict with the National Day event agenda and may affect public visitors depending on the VIP route. It is unclear who decides on changing delegation routes or programme order, and who must be informed (HQ, venue management, security, protocol all involved). Define the decision authority and chain of command.</t>
  </si>
  <si>
    <t>Protocol, Security, Venue Management, C&amp;P Ceremonies, C4i</t>
  </si>
  <si>
    <t>Protocol Department Operating Plan, Protocol Policy &amp; Procedure, C4i ConOps</t>
  </si>
  <si>
    <t>4.T2.03</t>
  </si>
  <si>
    <t>Comms channels for the late-delegation scenario not resolved: participants defaulted to radio without naming other methods; VIP security may operate in parallel to MOI/other entities. Clarify the exact comms channels and how they integrate with the MOC.</t>
  </si>
  <si>
    <t>4.T2.04</t>
  </si>
  <si>
    <t>Scenario: Injured Person / Fencing (Table 2)</t>
  </si>
  <si>
    <t>Injured-person (fencing) scenario: first responder identified as police/security to isolate the area, with the medical team informed via radio or messenger. Debate raised on why security rather than medical is first responder. Confirm first-responder and the medical-alerting channel.</t>
  </si>
  <si>
    <t>Venue Management, Security</t>
  </si>
  <si>
    <t>4.T36.01</t>
  </si>
  <si>
    <t>Scenario: Playground (Tables 3 &amp; 6)</t>
  </si>
  <si>
    <t>Injured-child scenario: most groups jumped to medical action without first checking whether the child was alone or with parents. Recommended sequence: locate parents/guardians first, then assess escalation. Build this into the procedure.</t>
  </si>
  <si>
    <t>Guest Services, Venue Management, Security</t>
  </si>
  <si>
    <t>Guest Services Department Operating Plan, Venue Management Department Operating Plan, Guest Services Policy &amp; Procedure, Venue Management Policy &amp; Procedure, Zone Operating Plan</t>
  </si>
  <si>
    <t>4.T36.02</t>
  </si>
  <si>
    <t>Lost/injured-child ambiguity: if a child is alone and parents cannot be found, is it treated as lost or injured, and who communicates to Guest Services and MOC? Develop the combined injured/lost-child policy with escalation thresholds and Guest Services communication.</t>
  </si>
  <si>
    <t>Guest Services Department Operating Plan, Security Department Operating Plan, Guest Services Policy &amp; Procedure, Zone Operating Plan</t>
  </si>
  <si>
    <t>4.T36.03</t>
  </si>
  <si>
    <t>Clarified: IMS logging for an injured child is for reporting/audit trail (e.g. potential legal claims), not necessarily real-time escalation to MOC. Differentiate escalation from reporting in the procedure.</t>
  </si>
  <si>
    <t>Venue Management,  C4i</t>
  </si>
  <si>
    <t>4.T36.04</t>
  </si>
  <si>
    <t>Damaged playground equipment: security isolates with signage/tape, facilities arranges repair/inspection, venue management and security identified as affected. Ownership of the playground space still not clear. Assign ownership and management responsibility for the playground.</t>
  </si>
  <si>
    <t>Facilities Management, Venue Management, Security, Guest Services</t>
  </si>
  <si>
    <t>Facilities Management Department Operating Plan, Facilities Management Policy &amp; Procedure, Venue Management Department Operating Plan, Venue Management Policy &amp; Procedure, Zone Operating Plan</t>
  </si>
  <si>
    <t>Status has been changed from Risk to Needs further clarification, ownership of the Playground is clear, however resolution process and step by step procedure on handling the damaged equipment is not clear and item will be closed once clarity is reached</t>
  </si>
  <si>
    <t>4.T3.01</t>
  </si>
  <si>
    <t>Scenario: Ticketing / Power Outage (Table 3)</t>
  </si>
  <si>
    <t>Ticket-scan failure / power outage scenario: response depends on whether the outage is temporary or major. Key unknowns unresolved: are scanners battery-powered, and is there a backup power procedure? Define the backup ticketing validation procedure for outages.</t>
  </si>
  <si>
    <t>4.T3.02</t>
  </si>
  <si>
    <t>Moving to a manual/visual ticketing process is a silver-level decision (owing to fraud/digital-ticket risk) and is decided by the MOC, not on the ground. A dedicated maintenance technician is available on site. Screening-lane shortage from power loss to be managed with crowd management and guest services supporting visitor flow; transport and parking to be informed.</t>
  </si>
  <si>
    <t>Ticketing, C4i, Venue Management, Security, Crowd Management</t>
  </si>
  <si>
    <t>Ticketing Department Operating Plan, Ticketing Policy &amp; Procedure, Security Department Operating Plan, Security Policy &amp; Procedure, C4i ConOps</t>
  </si>
  <si>
    <t>4.T5.01</t>
  </si>
  <si>
    <t>Scenario: Pavilion Water Leak (Table 5)</t>
  </si>
  <si>
    <t>Pavilion water-leak scenario clarified the venue management hierarchy: Venue Manager runs one building/venue, Sector Manager runs a full sector (multiple venues), Zone Manager runs the entire Zone. Sector 4 includes the Main Stage, National Day Stage, and two Sport Courts. Response flow: pavilion/venue or sector manager notified, facilities engaged for repair, security isolates, internal teams and hosts informed of partial closure.</t>
  </si>
  <si>
    <t>Venue Management, Facilities Management</t>
  </si>
  <si>
    <t>Facilities Management Department Operating Plan, Venue Management Department Operating Plan, Facilities Management Policy &amp; Procedure, Venue Management Policy &amp; Procedure</t>
  </si>
  <si>
    <t>4.T5.02</t>
  </si>
  <si>
    <t>The venue/sector/zone manager distinction caused confusion across departments. Map the full communication flow for the venue/sector/zone management hierarchy and socialise it.</t>
  </si>
  <si>
    <t>Venue Management, Operations</t>
  </si>
  <si>
    <t>Status has been changed because this has been presented on session 5 and full clarity reached in terms of Operating Model and Venue/Sector/Zone Hierarchy</t>
  </si>
  <si>
    <t>4.T5.03</t>
  </si>
  <si>
    <t>Scenario: Pavilion Over-Capacity (Table 5)</t>
  </si>
  <si>
    <t>Pavilion over-capacity scenario: it was unclear who tracks pavilion capacity and what system is used. Confirmed that camera/sensor trackers are installed and supplied by a vendor, with data going to the pavilion director/manager. Establish the infrastructure, ownership, and monitoring responsibility for pavilion capacity.</t>
  </si>
  <si>
    <t>Pavilions Management, IT, Crowd Management, C4i</t>
  </si>
  <si>
    <t>Pavilions Management Department Operating Plan, Crowd Management Department Operating Plan, Pavilions Management Policy &amp; Procedure, Crowd Management Policy &amp; Procedure, C4i ConOps</t>
  </si>
  <si>
    <t>4.T5.04</t>
  </si>
  <si>
    <t>Over-capacity thresholds for action (e.g. communicate at 10% below peak capacity) and who receives that communication still need to be defined. Barriers for crowd management are stored on site and called from logistics by security under an existing operating plan.</t>
  </si>
  <si>
    <t>4.T5.05</t>
  </si>
  <si>
    <t>Key message reinforced: all zone staff should proactively communicate observed problems (e.g. queue build-up) even outside their direct remit. Reflect this in fleetmap/comms design and briefings.</t>
  </si>
  <si>
    <t>O.23</t>
  </si>
  <si>
    <t>Cross-cutting: participants relied on personal awareness rather than any formal SOP; no one referenced a written procedure. This is the central finding of the exercise and the strongest argument for developing C4i/MOC SOPs before go-live. Compile all exercise outputs and develop policies/procedures for the identified gaps</t>
  </si>
  <si>
    <t>Department Policy &amp; Procedures, C4i ConOps</t>
  </si>
  <si>
    <t>O.24</t>
  </si>
  <si>
    <t>Cross-cutting: staff from the same department gave inconsistent answers (e.g. parking/transport start times quoted as both 07:00 and 20:00 by the same department). Departments must align internally so staff give consistent responses. Confirm parking/transport staff start times.</t>
  </si>
  <si>
    <t>O.25</t>
  </si>
  <si>
    <t>Cross-cutting: communication-method defaults (radio, IMS, messenger) were applied inconsistently across scenarios. Standardise the comms method per situation in the C4i communications architecture and fleetmap.</t>
  </si>
  <si>
    <t>C4i ConOps, Fleet Map</t>
  </si>
  <si>
    <t>O.26</t>
  </si>
  <si>
    <t>Vending machines and food/beverage services: confirm locations, hours, and the responsible department (retail, F&amp;B, or commercialization)</t>
  </si>
  <si>
    <t>F&amp;B, Commercial</t>
  </si>
  <si>
    <t>5.01</t>
  </si>
  <si>
    <t>Site Activation &amp; Morning Readiness</t>
  </si>
  <si>
    <t>Normal operating day walkthrough established as the session focus: from staff arrival and site activation through to closing, walking each department through its daily rhythm. Gates open 09:30 for visitors; programming from 10:00.</t>
  </si>
  <si>
    <t>Session 5. Normal-day walkthrough baseline.</t>
  </si>
  <si>
    <t>5.02</t>
  </si>
  <si>
    <t>Cleaning: hard cleaning completed by 06:00; from 06:00 soft-touch/beautification cleaning begins outside (facades, entrances, spider webs) before visitor arrival.</t>
  </si>
  <si>
    <t>Cleaning &amp; Waste</t>
  </si>
  <si>
    <t>5.03</t>
  </si>
  <si>
    <t>Morning site activation includes reactivating zones and services that were deactivated overnight; accessible guest services shuttle buggies form part of activation. Confirm the full activation checklist and sequence.</t>
  </si>
  <si>
    <t>Venue Management Policy &amp; Procedure, Zone Operating Plan, Expo Site Operating Plan</t>
  </si>
  <si>
    <t>5.04</t>
  </si>
  <si>
    <t>Front-of-house staff should be in position ~30 minutes before gates open; confirming ~600-700 security/crowd management staff are in place takes significant time. Build the confirmation/roll-call timing into the morning readiness plan.</t>
  </si>
  <si>
    <t>Security, Crowd Management, Workforce &amp; Volunteers, C4i</t>
  </si>
  <si>
    <t>C4i ConOps, Department Daily Run Sheet (DRS), Zone Operating Plan</t>
  </si>
  <si>
    <t>This risk is related not only to Security but spans across other departments as well, staff transportation, arrival, check in, briefing, equipment collection and deployment need to be factored in and completed latest 30 minutes before gates open.</t>
  </si>
  <si>
    <t>5.05</t>
  </si>
  <si>
    <t>Daytime Operations</t>
  </si>
  <si>
    <t>Schools programme runs 09:30-13:30 on weekdays and must be considered in morning planning and daytime operations.</t>
  </si>
  <si>
    <t>5.06</t>
  </si>
  <si>
    <t>Operating hours reconfirmed: 24/7 site with AM, PM and overnight shifts; programming from 10:00; last guest exit weekday midnight, weekend 01:00. Resolve the recurring 09:30-10:00 visitor-service gap (gates open before programming and some services start).</t>
  </si>
  <si>
    <t>Status has been changed from Needs Further Clarification to Risk, because it will affect the Visitor Experience and Image of the Expo 2027 Belgrade.</t>
  </si>
  <si>
    <t>5.07</t>
  </si>
  <si>
    <t>End of Day &amp; Closing</t>
  </si>
  <si>
    <t>Site emptying/closing procedure raised as undeveloped; soft sweep then hard sweep before the site is declared clear. Develop the formal closing procedure. (Session 6 later expanded this into a full sequence.)</t>
  </si>
  <si>
    <t>Security, Crowd Management, Venue Management, C4i</t>
  </si>
  <si>
    <t>Venue Management Policy &amp; Procedure, Zone Operating Plan, Expo Site Operating Plan,C4i ConOps.</t>
  </si>
  <si>
    <t>5.08</t>
  </si>
  <si>
    <t>MOC PM-to-overnight handover/briefing required at end of PM shift; timing to be confirmed. (Expanded in Session 6.)</t>
  </si>
  <si>
    <t>C4i ConOps, Expo Site Operating Plan</t>
  </si>
  <si>
    <t>5.09</t>
  </si>
  <si>
    <t>Workforce &amp; Shift Model</t>
  </si>
  <si>
    <t>Workforce management system exists for managers to check employees out at end of shift, but the process is not clearly defined. Establish a clear check-out procedure. (Recurs in Session 6.)</t>
  </si>
  <si>
    <t>Accreditation Department Operating Plan, Workforce Department Operating Plan, Workforce Policy &amp; Procedure, Volunteers Department Operating Plan, Volunteers Policy &amp; Procedure</t>
  </si>
  <si>
    <t>5.10</t>
  </si>
  <si>
    <t>Breakfast, lunch and dinner break procedures and time windows for the workforce to be clarified. (Session 6 recorded lunch 12:00-14:00, dinner ~17:00.)</t>
  </si>
  <si>
    <t>Workforce Department Operating Plan, Workforce Policy &amp; Procedure, Volunteers Department Operating Plan, Volunteers Policy &amp; Procedure</t>
  </si>
  <si>
    <t>Session 5. Break windows detailed further in Session 6.</t>
  </si>
  <si>
    <t>5.11</t>
  </si>
  <si>
    <t>Workforce canteen open at night to support overnight shifts.</t>
  </si>
  <si>
    <t>Workforce &amp; Volunteers, F&amp;B</t>
  </si>
  <si>
    <t>Workforce Department Operating Plan, Workforce Policy &amp; Procedure, Zone Operating Plan, Expo Site Operating Plan</t>
  </si>
  <si>
    <t>Status has been changed from confirmed to needs further clarification because no details been shared on the exact time the canteen will be open to support the overnight hours shift and staff.</t>
  </si>
  <si>
    <t>5.12</t>
  </si>
  <si>
    <t>Facilitators to add more summary slides showing what happened and what is expected, to improve engagement and comprehension between sessions.</t>
  </si>
  <si>
    <t>5.13</t>
  </si>
  <si>
    <t>All departments to review their areas and prepare answers before the Friday session (preparation between sessions, not during).</t>
  </si>
  <si>
    <t>Session 5 debrief. Preparation lesson. Reinforces S4 4.F.02/4.F.03.</t>
  </si>
  <si>
    <t>6.01</t>
  </si>
  <si>
    <t>End of Day &amp; Site Closing</t>
  </si>
  <si>
    <t>Programme ends 23:00; ushers in position ready for last egress operations. Weekday last guest exit midnight, weekend 01:00.</t>
  </si>
  <si>
    <t>Cultural, Music &amp; Entertainment, Crowd Management</t>
  </si>
  <si>
    <t>Session 6.</t>
  </si>
  <si>
    <t>6.02</t>
  </si>
  <si>
    <t>Formal site emptying procedure to be developed: soft sweep (gentle communication that site is closing), then hard sweep (staff clear remaining visitors), security confirms sectors clear, MOC declares site clear, then off-hours channel activated.</t>
  </si>
  <si>
    <t>C4i, Security, Crowd Management, Venue Management</t>
  </si>
  <si>
    <t>Venue Management Policy &amp; Procedure, C4i ConOps, Security Department Operating Plan, Crowd Management Department Operating Plan, Zone Operating Plan, Expo Site Operating Plan</t>
  </si>
  <si>
    <t>Session 6. Action item. Expands S5 5.07.</t>
  </si>
  <si>
    <t>6.03</t>
  </si>
  <si>
    <t>Visitor centres open until midnight; found items must be transferred to the claim centre, timing to be confirmed (at closure or in the morning). Develop the found-items transfer procedure.</t>
  </si>
  <si>
    <t>Guest Services, Logistics</t>
  </si>
  <si>
    <t>Guest Services Department Operating Plan, Guest Services Policy &amp; Procedure, Logistics Department Operating Plan</t>
  </si>
  <si>
    <t>6.04</t>
  </si>
  <si>
    <t>Exhibitions, playgrounds and commercial/retail areas close on a staggered basis; playgrounds can use lights-off plus staff/barriers to signal closure.</t>
  </si>
  <si>
    <t>6.05</t>
  </si>
  <si>
    <t>Entertainment team looks after the main stage itself; security manages artist/VIP movement from backstage.</t>
  </si>
  <si>
    <t>Cultural, Music &amp; Entertainment, Security</t>
  </si>
  <si>
    <t>Culture &amp; Entertainment Department Operating Plan, Culture &amp; Entertainment Policy &amp; Procedure</t>
  </si>
  <si>
    <t>6.06</t>
  </si>
  <si>
    <t>Mass Egress</t>
  </si>
  <si>
    <t>Main stage capacity estimated 10,000-15,000; a simultaneous departure is a major crowd management challenge. Develop a mass egress strategy including phasing, stop-and-go, and roaming entertainment to aid dispersal.</t>
  </si>
  <si>
    <t>Crowd Management, Security, Venue Management, Cultural &amp; Entertainment</t>
  </si>
  <si>
    <t>6.07</t>
  </si>
  <si>
    <t>No egress modeling has been done. Commission or review egress modeling.</t>
  </si>
  <si>
    <t>6.08</t>
  </si>
  <si>
    <t>Bus transport throughput for egress: buses every 8-10 minutes, ~50 capacity each. Assess against main-stage egress volume (10-15k).</t>
  </si>
  <si>
    <t>Transport &amp; Mobility Operations, Crowd Management</t>
  </si>
  <si>
    <t>TMO Department Operating Plan, Crowd Management Department Operating Plan, Crowd Management Policy &amp; Procedure, C4i ConOps</t>
  </si>
  <si>
    <t>6.09</t>
  </si>
  <si>
    <t>Roaming entertainment after the programme ends can phase crowd movement toward exits (precedent: Dubai and Astana Expos). Consider including in the egress plan.</t>
  </si>
  <si>
    <t>Cultural &amp; Entertainment</t>
  </si>
  <si>
    <t>This has been discussed during session 6 and reference been made to past events, however needs to be discussed further.</t>
  </si>
  <si>
    <t>6.10</t>
  </si>
  <si>
    <t>Confirm digital signage content plan for the egress phase (directional info, colour-coded parking zones, transport routes) to help visitors find their transport.</t>
  </si>
  <si>
    <t>Venue Management, Marketing, Guest Services, IT</t>
  </si>
  <si>
    <t>6.11</t>
  </si>
  <si>
    <t>Parking area lighting is 24/7 and centrally managed.</t>
  </si>
  <si>
    <t>Transport &amp; Mobility, C4i</t>
  </si>
  <si>
    <t>6.12</t>
  </si>
  <si>
    <t>Overnight Operations &amp; Handover</t>
  </si>
  <si>
    <t>Site operates 24 hours: AM shift, PM shift (~15:30), then overnight. Confirm MOC overnight briefing/handover procedure and timing for the PM-to-night transition (at 23:00 or slightly earlier).</t>
  </si>
  <si>
    <t xml:space="preserve">C4i ConOps, Expo Site Operating Plan, </t>
  </si>
  <si>
    <t>6.13</t>
  </si>
  <si>
    <t>Overnight channel switch: a MOC ALL CALL on radio announces the site is clear and switches to the off-hours channel for deliveries, restocking, cleaning vehicles and waste.</t>
  </si>
  <si>
    <t>Venue Management, Security, C4i</t>
  </si>
  <si>
    <t>Venue Management Policy &amp; Procedure, C4i ConOps, Zone Operating Plan, Expo Site Operating Plan</t>
  </si>
  <si>
    <t>Session 6. Comms-architecture detail; links to fleetmap theme.</t>
  </si>
  <si>
    <t>6.15</t>
  </si>
  <si>
    <t>Define overnight safety rules on site: where personnel can walk, vehicle movement corridors, and restricted zones, so overnight workers know where they can and cannot go.</t>
  </si>
  <si>
    <t>Security, Venue Management, Logistics</t>
  </si>
  <si>
    <t>Session 6. Action item.</t>
  </si>
  <si>
    <t>6.17</t>
  </si>
  <si>
    <t>Workforce Management</t>
  </si>
  <si>
    <t>Establish a clear workforce check-out process via the workforce management system at end of PM shift (process currently undefined).</t>
  </si>
  <si>
    <t>Workforce, Accreditation</t>
  </si>
  <si>
    <t>6.18</t>
  </si>
  <si>
    <t>Clarify breakfast, lunch and dinner break procedures and windows (lunch noted 12:00-14:00, dinner ~17:00).</t>
  </si>
  <si>
    <t>6.19</t>
  </si>
  <si>
    <t>Staffing resilience: departments should plan to operate with up to 25% staff absent; managers reprioritise tasks accordingly. Reflect in workforce and shift planning.</t>
  </si>
  <si>
    <t>Workforce Policy &amp; Procedure</t>
  </si>
  <si>
    <t>6.20</t>
  </si>
  <si>
    <t>Shift conflict management approach: separate then joint conversations, professionalism over personal issues, escalate only if operationally critical. Manager visibility and welfare checks (including volunteers and subcontractors) emphasised throughout.</t>
  </si>
  <si>
    <t>Workforce Policy &amp; Procedure, HR Policy &amp; Procedure</t>
  </si>
  <si>
    <t>6.21</t>
  </si>
  <si>
    <t>Barrier Deployment</t>
  </si>
  <si>
    <t>Barriers delivered to departments by site hands each morning; once delivered, the requesting department is responsible for moving them within its space. Develop an overnight/morning barrier deployment plan and pre-plan removal/reinstatement windows in run sheets.</t>
  </si>
  <si>
    <t>6.22</t>
  </si>
  <si>
    <t>Stage/programme barriers are left in place and managed by a dedicated crew, not returned to logistics each night.</t>
  </si>
  <si>
    <t>Crowd Management, Venue Management, Culture &amp; Entertainment</t>
  </si>
  <si>
    <t>6.23</t>
  </si>
  <si>
    <t>Buggy / Golf Cart Management</t>
  </si>
  <si>
    <t>Plan overnight buggy / golf-cart charging logistics (30 charge simultaneously, ~6 hrs to full).</t>
  </si>
  <si>
    <t>6.24</t>
  </si>
  <si>
    <t>Buggies will carry department codes, but distribution of codes is unclear and there is no GPS tracking. Define code assignment/distribution and confirm no GPS is available. Confirm any limitations on buggy use during on-hours.</t>
  </si>
  <si>
    <t>Logistics Department Operating Plan, Logistics Policy &amp; Procedure, Accreditation Department Operating Plan, Accreditation Policy &amp; Procedure</t>
  </si>
  <si>
    <t>6.25</t>
  </si>
  <si>
    <t>Department Manager Day Walkthrough</t>
  </si>
  <si>
    <t>Department-manager day walkthrough (role-play) used to reverse-engineer readiness timelines from 09:30 gates. Key timeline: arrive ~07:00, 07:30 managers meet at ops office, 08:00 zone briefing (15-20 min), 08:20-25 team briefing, deploy, radio roll-call/readiness check, IMS login by ~09:00 to confirm readiness checks, gates open 09:30. Lock Morning rhythm with MOC &amp; Zone Briefing times.</t>
  </si>
  <si>
    <t>Venue Management Department Operating Plan, Venue Management Policy &amp; Procedure, C4i ConOps, Zone Operating Plan, Expo Site Operating Plan</t>
  </si>
  <si>
    <t>6.26</t>
  </si>
  <si>
    <t>AM manager hands over to PM counterpart after the PM attends the MOC briefing; handover includes radio, outstanding items and the issues log. Formalise the intra-day AM-to-PM handover.</t>
  </si>
  <si>
    <t>6.27</t>
  </si>
  <si>
    <t>Operational intensity: first 2-3 weeks on site are the hardest, then stabilises into business-as-usual rhythm. Factor the ramp-up peak into workforce and support planning.</t>
  </si>
  <si>
    <t>6.28</t>
  </si>
  <si>
    <t>IMS &amp; Incident Reporting</t>
  </si>
  <si>
    <t>Radio/verbal action always takes priority over logging in the IMS; log after the fact. Consistent with the standing C4i standard (act first, log for awareness/audit).</t>
  </si>
  <si>
    <t>C4i ConOps, Zone Operating Plan, Expo Site Operating Plan</t>
  </si>
  <si>
    <t>6.29</t>
  </si>
  <si>
    <t>IMS issue leveling proposal: guided yes/no questions (e.g. affects VIPs?, number impacted?) to auto-score severity, with manager override.  Organise a workshop to finalise leveling logic and SLA times.</t>
  </si>
  <si>
    <t>Venue Management, IT, C4i</t>
  </si>
  <si>
    <t>6.30</t>
  </si>
  <si>
    <t>Daily reporting format and timing still under discussion. Confirm the daily reporting structure and cadence (daily rhythm).</t>
  </si>
  <si>
    <t>6.31</t>
  </si>
  <si>
    <t>Uniform Policy</t>
  </si>
  <si>
    <t>Uniform policy not fully confirmed: security (and possibly all staff and volunteers) may not use public transport in uniform and must be shuttled. Clarify whether this applies to all staff/contractors travelling on public transport.</t>
  </si>
  <si>
    <t>Security, Workforce &amp; Volunteers, Transport &amp; Mobility Operations</t>
  </si>
  <si>
    <t>O.6.22</t>
  </si>
  <si>
    <t>Overnight and shift-handover continuity is now a defined gap across MOC, workforce, security and logistics: PM-to-night handover format, check-out process, overnight safety zones and off-hours channel switch all need documenting. Core endurance-model requirement for a 24/7 multi-month event.  Define the structured handover format AM&gt;PM&gt;Overnight.</t>
  </si>
  <si>
    <t>O.6.24</t>
  </si>
  <si>
    <t>IMS leveling and SLA logic to be finalised in a dedicated workshop, closing the escalation-threshold gap raised across the series (S3 MOC thresholds, S4 escalation tiers). Directly feeds the C4i/MOC operating model.</t>
  </si>
  <si>
    <t>Session 1 - Summary</t>
  </si>
  <si>
    <t>Live counts. Filter the Action Tracker to work each group.</t>
  </si>
  <si>
    <t>By Status</t>
  </si>
  <si>
    <t>By Covered-in Plan</t>
  </si>
  <si>
    <t>Count</t>
  </si>
  <si>
    <t>Plan / Deliverable</t>
  </si>
  <si>
    <t>Open items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</si>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</sst>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charset val="1"/>
    </font>
    <font>
      <sz val="10"/>
      <color rgb="FF5A5A6E"/>
      <name val="Montserrat"/>
    </font>
    <font>
      <b/>
      <sz val="10"/>
      <color rgb="FFFFFFFF"/>
      <name val="Montserrat"/>
    </font>
    <font>
      <b/>
      <sz val="9"/>
      <color rgb="FF0D0C4E"/>
      <name val="Montserrat"/>
    </font>
    <font>
      <sz val="9"/>
      <color rgb="FF0D0C4E"/>
      <name val="Montserrat"/>
    </font>
    <font>
      <b/>
      <sz val="14"/>
      <color rgb="FF0D0C4E"/>
      <name val="Montserrat"/>
    </font>
    <font>
      <sz val="9"/>
      <color rgb="FF5A5A6E"/>
      <name val="Montserrat"/>
    </font>
    <font>
      <b/>
      <sz val="11"/>
      <color rgb="FF0D0C4E"/>
      <name val="Montserrat"/>
    </font>
    <font>
      <b/>
      <sz val="10"/>
      <color rgb="FF0D0C4E"/>
      <name val="Montserrat"/>
    </font>
    <font>
      <sz val="10"/>
      <color rgb="FF0D0C4E"/>
      <name val="Montserrat"/>
    </font>
    <font>
      <b/>
      <sz val="12"/>
      <color rgb="FF0D0C4E"/>
      <name val="Montserrat"/>
    </font>
    <font>
      <b/>
      <sz val="11"/>
      <color theme="1"/>
      <name val="Calibri"/>
      <family val="2"/>
      <charset val="1"/>
    </font>
    <font>
      <b/>
      <sz val="9"/>
      <color rgb="FF6A6A6A"/>
      <name val="Montserrat"/>
    </font>
    <font>
      <b/>
      <sz val="9"/>
      <color rgb="FFC0392B"/>
      <name val="Montserrat"/>
    </font>
    <font>
      <b/>
      <sz val="9"/>
      <color rgb="FFB7950B"/>
      <name val="Montserrat"/>
    </font>
    <font>
      <b/>
      <sz val="16"/>
      <color rgb="FF0D0C4E"/>
      <name val="Montserrat"/>
    </font>
    <font>
      <b/>
      <sz val="11"/>
      <color theme="1"/>
      <name val="Calibri"/>
      <family val="2"/>
    </font>
    <font>
      <b/>
      <sz val="9"/>
      <color theme="5"/>
      <name val="Montserrat"/>
    </font>
    <font>
      <b/>
      <sz val="9"/>
      <color rgb="FF0D0C4E"/>
      <name val="Montserrat"/>
      <charset val="1"/>
    </font>
    <font>
      <sz val="9"/>
      <color rgb="FF0D0C4E"/>
      <name val="Montserrat"/>
      <charset val="1"/>
    </font>
    <font>
      <b/>
      <sz val="9"/>
      <color rgb="FF6A6A6A"/>
      <name val="Montserrat"/>
      <charset val="1"/>
    </font>
    <font>
      <b/>
      <sz val="9"/>
      <color rgb="FFC0392B"/>
      <name val="Montserrat"/>
      <charset val="1"/>
    </font>
    <font>
      <b/>
      <sz val="9"/>
      <color rgb="FFB7950B"/>
      <name val="Montserrat"/>
      <charset val="1"/>
    </font>
    <font>
      <strike/>
      <sz val="9"/>
      <color rgb="FF0D0C4E"/>
      <name val="Montserrat"/>
    </font>
  </fonts>
  <fills count="17">
    <fill>
      <patternFill patternType="none"/>
    </fill>
    <fill>
      <patternFill patternType="gray125"/>
    </fill>
    <fill>
      <patternFill patternType="solid">
        <fgColor rgb="FFFFFFFF"/>
        <bgColor rgb="FFFFF2CC"/>
      </patternFill>
    </fill>
    <fill>
      <patternFill patternType="solid">
        <fgColor rgb="FF1AE279"/>
        <bgColor rgb="FF00FF00"/>
      </patternFill>
    </fill>
    <fill>
      <patternFill patternType="solid">
        <fgColor rgb="FF0D0C4E"/>
        <bgColor rgb="FF000080"/>
      </patternFill>
    </fill>
    <fill>
      <patternFill patternType="solid">
        <fgColor rgb="FFD9EAD3"/>
        <bgColor rgb="FFD8D8E0"/>
      </patternFill>
    </fill>
    <fill>
      <patternFill patternType="solid">
        <fgColor rgb="FFD9D9FF"/>
        <bgColor rgb="FFD8D8E0"/>
      </patternFill>
    </fill>
    <fill>
      <patternFill patternType="solid">
        <fgColor rgb="FFFFF2CC"/>
        <bgColor rgb="FFFCE5CD"/>
      </patternFill>
    </fill>
    <fill>
      <patternFill patternType="solid">
        <fgColor rgb="FFF4CCCC"/>
        <bgColor rgb="FFD8D8E0"/>
      </patternFill>
    </fill>
    <fill>
      <patternFill patternType="solid">
        <fgColor rgb="FFFCE5CD"/>
        <bgColor rgb="FFFFF2CC"/>
      </patternFill>
    </fill>
    <fill>
      <patternFill patternType="solid">
        <fgColor theme="8"/>
        <bgColor rgb="FFFFF2CC"/>
      </patternFill>
    </fill>
    <fill>
      <patternFill patternType="solid">
        <fgColor theme="2" tint="-0.249977111117893"/>
        <bgColor indexed="64"/>
      </patternFill>
    </fill>
    <fill>
      <patternFill patternType="solid">
        <fgColor rgb="FFD9EAD3"/>
        <bgColor rgb="FFC6EFCE"/>
      </patternFill>
    </fill>
    <fill>
      <patternFill patternType="solid">
        <fgColor rgb="FFF4CCCC"/>
        <bgColor rgb="FFFFC7CE"/>
      </patternFill>
    </fill>
    <fill>
      <patternFill patternType="solid">
        <fgColor rgb="FFFFF2CC"/>
        <bgColor rgb="FFFFF3CC"/>
      </patternFill>
    </fill>
    <fill>
      <patternFill patternType="solid">
        <fgColor rgb="FFEAEFF7"/>
      </patternFill>
    </fill>
    <fill>
      <patternFill patternType="solid">
        <fgColor rgb="FFD9D9D9"/>
      </patternFill>
    </fill>
  </fills>
  <borders count="3">
    <border>
      <left/>
      <right/>
      <top/>
      <bottom/>
      <diagonal/>
    </border>
    <border>
      <left style="thin">
        <color rgb="FFD8D8E0"/>
      </left>
      <right style="thin">
        <color rgb="FFD8D8E0"/>
      </right>
      <top style="thin">
        <color rgb="FFD8D8E0"/>
      </top>
      <bottom style="thin">
        <color rgb="FFD8D8E0"/>
      </bottom>
      <diagonal/>
    </border>
    <border>
      <left style="thin">
        <color rgb="FFD8D8E0"/>
      </left>
      <right style="thin">
        <color rgb="FFD8D8E0"/>
      </right>
      <top/>
      <bottom/>
      <diagonal/>
    </border>
  </borders>
  <cellStyleXfs count="1">
    <xf numFmtId="0" fontId="0" fillId="0" borderId="0"/>
  </cellStyleXfs>
  <cellXfs count="58">
    <xf numFmtId="0" fontId="0" fillId="0" borderId="0" xfId="0"/>
    <xf numFmtId="0" fontId="0" fillId="3" borderId="0" xfId="0" applyFill="1"/>
    <xf numFmtId="0" fontId="2" fillId="4" borderId="1" xfId="0" applyFont="1" applyFill="1" applyBorder="1" applyAlignment="1">
      <alignment horizontal="left" vertical="center"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3"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3" fillId="8" borderId="1" xfId="0" applyFont="1" applyFill="1" applyBorder="1" applyAlignment="1">
      <alignment horizontal="left" vertical="top" wrapText="1"/>
    </xf>
    <xf numFmtId="0" fontId="3" fillId="9" borderId="1" xfId="0" applyFont="1" applyFill="1" applyBorder="1" applyAlignment="1">
      <alignment horizontal="left" vertical="top" wrapText="1"/>
    </xf>
    <xf numFmtId="0" fontId="5" fillId="0" borderId="0" xfId="0" applyFont="1"/>
    <xf numFmtId="0" fontId="6" fillId="0" borderId="0" xfId="0" applyFont="1"/>
    <xf numFmtId="0" fontId="7" fillId="0" borderId="0" xfId="0" applyFont="1"/>
    <xf numFmtId="0" fontId="2" fillId="4" borderId="0" xfId="0" applyFont="1" applyFill="1" applyAlignment="1">
      <alignment horizontal="left"/>
    </xf>
    <xf numFmtId="0" fontId="4" fillId="0" borderId="0" xfId="0" applyFont="1"/>
    <xf numFmtId="0" fontId="3" fillId="0" borderId="0" xfId="0" applyFont="1"/>
    <xf numFmtId="0" fontId="9" fillId="0" borderId="0" xfId="0" applyFont="1" applyAlignment="1">
      <alignment vertical="top" wrapText="1"/>
    </xf>
    <xf numFmtId="0" fontId="10" fillId="0" borderId="0" xfId="0" applyFont="1"/>
    <xf numFmtId="0" fontId="3" fillId="5" borderId="1" xfId="0" applyFont="1" applyFill="1" applyBorder="1"/>
    <xf numFmtId="0" fontId="4" fillId="0" borderId="0" xfId="0" applyFont="1" applyAlignment="1">
      <alignment vertical="center" wrapText="1"/>
    </xf>
    <xf numFmtId="0" fontId="3" fillId="7" borderId="1" xfId="0" applyFont="1" applyFill="1" applyBorder="1"/>
    <xf numFmtId="0" fontId="3" fillId="6" borderId="1" xfId="0" applyFont="1" applyFill="1" applyBorder="1"/>
    <xf numFmtId="0" fontId="3" fillId="8" borderId="1" xfId="0" applyFont="1" applyFill="1" applyBorder="1"/>
    <xf numFmtId="0" fontId="3" fillId="9" borderId="1" xfId="0" applyFont="1" applyFill="1" applyBorder="1"/>
    <xf numFmtId="0" fontId="0" fillId="10" borderId="0" xfId="0" applyFill="1"/>
    <xf numFmtId="0" fontId="11" fillId="3" borderId="0" xfId="0" applyFont="1" applyFill="1" applyAlignment="1">
      <alignment wrapText="1"/>
    </xf>
    <xf numFmtId="0" fontId="12" fillId="0" borderId="1" xfId="0" applyFont="1" applyBorder="1" applyAlignment="1">
      <alignment horizontal="center" vertical="top" wrapText="1"/>
    </xf>
    <xf numFmtId="0" fontId="13" fillId="0" borderId="1" xfId="0" applyFont="1" applyBorder="1" applyAlignment="1">
      <alignment horizontal="center" vertical="top" wrapText="1"/>
    </xf>
    <xf numFmtId="0" fontId="14" fillId="0" borderId="1" xfId="0" applyFont="1" applyBorder="1" applyAlignment="1">
      <alignment horizontal="center" vertical="top" wrapText="1"/>
    </xf>
    <xf numFmtId="0" fontId="11" fillId="0" borderId="0" xfId="0" applyFont="1" applyAlignment="1">
      <alignment wrapText="1"/>
    </xf>
    <xf numFmtId="0" fontId="8" fillId="0" borderId="0" xfId="0" applyFont="1" applyAlignment="1">
      <alignment vertical="top"/>
    </xf>
    <xf numFmtId="0" fontId="0" fillId="0" borderId="0" xfId="0" applyAlignment="1">
      <alignment vertical="top"/>
    </xf>
    <xf numFmtId="0" fontId="16" fillId="11" borderId="0" xfId="0" applyFont="1" applyFill="1"/>
    <xf numFmtId="0" fontId="17" fillId="0" borderId="1" xfId="0" applyFont="1" applyBorder="1" applyAlignment="1">
      <alignment horizontal="center" vertical="top" wrapText="1"/>
    </xf>
    <xf numFmtId="0" fontId="18" fillId="0" borderId="1" xfId="0" applyFont="1" applyBorder="1" applyAlignment="1">
      <alignment horizontal="left" vertical="top" wrapText="1"/>
    </xf>
    <xf numFmtId="0" fontId="19" fillId="0" borderId="1" xfId="0" applyFont="1" applyBorder="1" applyAlignment="1">
      <alignment horizontal="left" vertical="top" wrapText="1"/>
    </xf>
    <xf numFmtId="0" fontId="18" fillId="12" borderId="1" xfId="0" applyFont="1" applyFill="1" applyBorder="1" applyAlignment="1">
      <alignment horizontal="left" vertical="top" wrapText="1"/>
    </xf>
    <xf numFmtId="0" fontId="20" fillId="0" borderId="1" xfId="0" applyFont="1" applyBorder="1" applyAlignment="1">
      <alignment horizontal="center" vertical="top" wrapText="1"/>
    </xf>
    <xf numFmtId="0" fontId="18" fillId="6" borderId="1" xfId="0" applyFont="1" applyFill="1" applyBorder="1" applyAlignment="1">
      <alignment horizontal="left" vertical="top" wrapText="1"/>
    </xf>
    <xf numFmtId="0" fontId="21" fillId="0" borderId="1" xfId="0" applyFont="1" applyBorder="1" applyAlignment="1">
      <alignment horizontal="center" vertical="top" wrapText="1"/>
    </xf>
    <xf numFmtId="0" fontId="18" fillId="13" borderId="1" xfId="0" applyFont="1" applyFill="1" applyBorder="1" applyAlignment="1">
      <alignment horizontal="left" vertical="top" wrapText="1"/>
    </xf>
    <xf numFmtId="0" fontId="18" fillId="9" borderId="1" xfId="0" applyFont="1" applyFill="1" applyBorder="1" applyAlignment="1">
      <alignment horizontal="left" vertical="top" wrapText="1"/>
    </xf>
    <xf numFmtId="0" fontId="18" fillId="14" borderId="1" xfId="0" applyFont="1" applyFill="1" applyBorder="1" applyAlignment="1">
      <alignment horizontal="left" vertical="top" wrapText="1"/>
    </xf>
    <xf numFmtId="0" fontId="22" fillId="0" borderId="1" xfId="0" applyFont="1" applyBorder="1" applyAlignment="1">
      <alignment horizontal="center" vertical="top" wrapText="1"/>
    </xf>
    <xf numFmtId="0" fontId="4" fillId="15" borderId="1" xfId="0" applyFont="1" applyFill="1" applyBorder="1" applyAlignment="1">
      <alignment horizontal="left" vertical="top" wrapText="1"/>
    </xf>
    <xf numFmtId="0" fontId="3" fillId="16" borderId="1" xfId="0" applyFont="1" applyFill="1" applyBorder="1" applyAlignment="1">
      <alignment horizontal="left" vertical="top" wrapText="1"/>
    </xf>
    <xf numFmtId="0" fontId="4" fillId="16" borderId="1" xfId="0" applyFont="1" applyFill="1" applyBorder="1" applyAlignment="1">
      <alignment horizontal="left" vertical="top" wrapText="1"/>
    </xf>
    <xf numFmtId="0" fontId="14" fillId="16" borderId="1" xfId="0" applyFont="1" applyFill="1" applyBorder="1" applyAlignment="1">
      <alignment horizontal="center" vertical="top" wrapText="1"/>
    </xf>
    <xf numFmtId="0" fontId="4" fillId="0" borderId="2" xfId="0" applyFont="1" applyBorder="1" applyAlignment="1">
      <alignment horizontal="left" vertical="top" wrapText="1"/>
    </xf>
    <xf numFmtId="0" fontId="3" fillId="5" borderId="0" xfId="0" applyFont="1" applyFill="1"/>
    <xf numFmtId="0" fontId="3" fillId="7" borderId="0" xfId="0" applyFont="1" applyFill="1"/>
    <xf numFmtId="0" fontId="3" fillId="6" borderId="0" xfId="0" applyFont="1" applyFill="1"/>
    <xf numFmtId="0" fontId="3" fillId="8" borderId="0" xfId="0" applyFont="1" applyFill="1"/>
    <xf numFmtId="0" fontId="3" fillId="9" borderId="0" xfId="0" applyFont="1" applyFill="1"/>
    <xf numFmtId="0" fontId="15" fillId="2" borderId="0" xfId="0" applyFont="1" applyFill="1" applyAlignment="1">
      <alignment horizontal="left" vertical="center"/>
    </xf>
    <xf numFmtId="0" fontId="0" fillId="0" borderId="0" xfId="0"/>
    <xf numFmtId="0" fontId="11" fillId="0" borderId="0" xfId="0" applyFont="1" applyAlignment="1">
      <alignment wrapText="1"/>
    </xf>
    <xf numFmtId="0" fontId="1" fillId="2" borderId="0" xfId="0" applyFont="1" applyFill="1" applyAlignment="1">
      <alignment horizontal="left" vertical="center"/>
    </xf>
  </cellXfs>
  <cellStyles count="1">
    <cellStyle name="Normal" xfId="0" builtinId="0"/>
  </cellStyles>
  <dxfs count="5">
    <dxf>
      <font>
        <color rgb="FF9C0006"/>
      </font>
      <fill>
        <patternFill>
          <bgColor rgb="FFFFC7CE"/>
        </patternFill>
      </fill>
    </dxf>
    <dxf>
      <font>
        <color rgb="FF006100"/>
      </font>
      <fill>
        <patternFill>
          <bgColor rgb="FFC6EFCE"/>
        </patternFill>
      </fill>
    </dxf>
    <dxf>
      <font>
        <b/>
        <color rgb="FF0A093C"/>
      </font>
      <fill>
        <patternFill>
          <bgColor rgb="FFBDBEE2"/>
        </patternFill>
      </fill>
    </dxf>
    <dxf>
      <font>
        <color rgb="FF9C0006"/>
      </font>
      <fill>
        <patternFill>
          <bgColor rgb="FFFFC7CE"/>
        </patternFill>
      </fill>
    </dxf>
    <dxf>
      <font>
        <b/>
        <color rgb="FF0A093C"/>
      </font>
      <fill>
        <patternFill>
          <bgColor rgb="FFFFF3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D0C4E"/>
      <rgbColor rgb="FFB7950B"/>
      <rgbColor rgb="FF800080"/>
      <rgbColor rgb="FF008080"/>
      <rgbColor rgb="FFD8D8E0"/>
      <rgbColor rgb="FF5A5A6E"/>
      <rgbColor rgb="FF9999FF"/>
      <rgbColor rgb="FF993366"/>
      <rgbColor rgb="FFFFF2CC"/>
      <rgbColor rgb="FFCCFFFF"/>
      <rgbColor rgb="FF660066"/>
      <rgbColor rgb="FFFF8080"/>
      <rgbColor rgb="FF0066CC"/>
      <rgbColor rgb="FFD9D9FF"/>
      <rgbColor rgb="FF000080"/>
      <rgbColor rgb="FFFF00FF"/>
      <rgbColor rgb="FFFFFF00"/>
      <rgbColor rgb="FF00FFFF"/>
      <rgbColor rgb="FF800080"/>
      <rgbColor rgb="FF800000"/>
      <rgbColor rgb="FF008080"/>
      <rgbColor rgb="FF0000FF"/>
      <rgbColor rgb="FF00CCFF"/>
      <rgbColor rgb="FFCCFFFF"/>
      <rgbColor rgb="FFD9EAD3"/>
      <rgbColor rgb="FFFCE5CD"/>
      <rgbColor rgb="FF99CCFF"/>
      <rgbColor rgb="FFFF99CC"/>
      <rgbColor rgb="FFCC99FF"/>
      <rgbColor rgb="FFF4CCCC"/>
      <rgbColor rgb="FF3366FF"/>
      <rgbColor rgb="FF1AE279"/>
      <rgbColor rgb="FF99CC00"/>
      <rgbColor rgb="FFFFCC00"/>
      <rgbColor rgb="FFFF9900"/>
      <rgbColor rgb="FFFF6600"/>
      <rgbColor rgb="FF6A6A6A"/>
      <rgbColor rgb="FF969696"/>
      <rgbColor rgb="FF003366"/>
      <rgbColor rgb="FF339966"/>
      <rgbColor rgb="FF003300"/>
      <rgbColor rgb="FF333300"/>
      <rgbColor rgb="FFC0392B"/>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213360</xdr:colOff>
      <xdr:row>0</xdr:row>
      <xdr:rowOff>106680</xdr:rowOff>
    </xdr:from>
    <xdr:to>
      <xdr:col>1</xdr:col>
      <xdr:colOff>287655</xdr:colOff>
      <xdr:row>1</xdr:row>
      <xdr:rowOff>167640</xdr:rowOff>
    </xdr:to>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xfrm>
          <a:off x="213360" y="106680"/>
          <a:ext cx="701040" cy="411480"/>
        </a:xfrm>
        <a:prstGeom prst="rect">
          <a:avLst/>
        </a:prstGeom>
        <a:ln w="0">
          <a:noFill/>
          <a:prstDash val="solid"/>
        </a:ln>
      </xdr:spPr>
    </xdr:pic>
    <xdr:clientData/>
  </xdr:twoCellAnchor>
  <xdr:twoCellAnchor editAs="oneCell">
    <xdr:from>
      <xdr:col>1</xdr:col>
      <xdr:colOff>586740</xdr:colOff>
      <xdr:row>0</xdr:row>
      <xdr:rowOff>144780</xdr:rowOff>
    </xdr:from>
    <xdr:to>
      <xdr:col>1</xdr:col>
      <xdr:colOff>1273560</xdr:colOff>
      <xdr:row>2</xdr:row>
      <xdr:rowOff>3120</xdr:rowOff>
    </xdr:to>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a:fillRect/>
        </a:stretch>
      </xdr:blipFill>
      <xdr:spPr>
        <a:xfrm>
          <a:off x="1203960" y="144780"/>
          <a:ext cx="694440" cy="39936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77"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2B0B1ED-BCEA-4C7F-A701-D05EADA99410}">
  <we:reference id="WA200010725" version="1.0.0.1" store="Omex" storeType="OMEX"/>
  <we:alternateReferences>
    <we:reference id="WA200010725" version="1.0.0.1" store="WA200010725" storeType="OMEX"/>
  </we:alternateReferences>
  <we:properties>
    <we:property name="claude.fileId" value="&quot;a34e388f-e222-4045-94ca-2d10f3ffd568&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D0C4E"/>
  </sheetPr>
  <dimension ref="B2:C18"/>
  <sheetViews>
    <sheetView showGridLines="0" zoomScaleNormal="100" workbookViewId="0">
      <selection activeCell="C18" sqref="C18"/>
    </sheetView>
  </sheetViews>
  <sheetFormatPr defaultColWidth="8.6640625" defaultRowHeight="14.4" x14ac:dyDescent="0.3"/>
  <cols>
    <col min="1" max="1" width="3" customWidth="1"/>
    <col min="2" max="2" width="32" customWidth="1"/>
    <col min="3" max="3" width="90" customWidth="1"/>
  </cols>
  <sheetData>
    <row r="2" spans="2:3" ht="17.25" customHeight="1" x14ac:dyDescent="0.7">
      <c r="B2" s="10" t="s">
        <v>0</v>
      </c>
    </row>
    <row r="4" spans="2:3" ht="36" customHeight="1" x14ac:dyDescent="0.3">
      <c r="B4" s="30" t="s">
        <v>1</v>
      </c>
      <c r="C4" s="16" t="s">
        <v>2</v>
      </c>
    </row>
    <row r="5" spans="2:3" ht="36" customHeight="1" x14ac:dyDescent="0.3">
      <c r="B5" s="30" t="s">
        <v>3</v>
      </c>
      <c r="C5" s="16" t="s">
        <v>4</v>
      </c>
    </row>
    <row r="6" spans="2:3" ht="54" customHeight="1" x14ac:dyDescent="0.3">
      <c r="B6" s="30" t="s">
        <v>5</v>
      </c>
      <c r="C6" s="16" t="s">
        <v>6</v>
      </c>
    </row>
    <row r="7" spans="2:3" ht="31.5" customHeight="1" x14ac:dyDescent="0.3">
      <c r="B7" s="30" t="s">
        <v>7</v>
      </c>
      <c r="C7" s="16" t="s">
        <v>8</v>
      </c>
    </row>
    <row r="8" spans="2:3" ht="31.5" customHeight="1" x14ac:dyDescent="0.3">
      <c r="B8" s="30" t="s">
        <v>9</v>
      </c>
      <c r="C8" s="16" t="s">
        <v>10</v>
      </c>
    </row>
    <row r="9" spans="2:3" ht="54" customHeight="1" x14ac:dyDescent="0.3">
      <c r="B9" s="30" t="s">
        <v>11</v>
      </c>
      <c r="C9" s="16" t="s">
        <v>12</v>
      </c>
    </row>
    <row r="10" spans="2:3" x14ac:dyDescent="0.3">
      <c r="B10" s="31"/>
    </row>
    <row r="12" spans="2:3" ht="15" customHeight="1" x14ac:dyDescent="0.6">
      <c r="B12" s="17" t="s">
        <v>13</v>
      </c>
    </row>
    <row r="13" spans="2:3" ht="15" customHeight="1" x14ac:dyDescent="0.5">
      <c r="B13" s="18" t="s">
        <v>14</v>
      </c>
      <c r="C13" s="19" t="s">
        <v>15</v>
      </c>
    </row>
    <row r="14" spans="2:3" ht="15" customHeight="1" x14ac:dyDescent="0.5">
      <c r="B14" s="20" t="s">
        <v>16</v>
      </c>
      <c r="C14" s="19" t="s">
        <v>17</v>
      </c>
    </row>
    <row r="15" spans="2:3" ht="15" customHeight="1" x14ac:dyDescent="0.5">
      <c r="B15" s="21" t="s">
        <v>18</v>
      </c>
      <c r="C15" s="19" t="s">
        <v>19</v>
      </c>
    </row>
    <row r="16" spans="2:3" ht="15" customHeight="1" x14ac:dyDescent="0.5">
      <c r="B16" s="22" t="s">
        <v>20</v>
      </c>
      <c r="C16" s="19" t="s">
        <v>21</v>
      </c>
    </row>
    <row r="17" spans="2:3" ht="15" customHeight="1" x14ac:dyDescent="0.5">
      <c r="B17" s="23" t="s">
        <v>22</v>
      </c>
      <c r="C17" s="19" t="s">
        <v>23</v>
      </c>
    </row>
    <row r="18" spans="2:3" x14ac:dyDescent="0.3">
      <c r="B18" s="32" t="s">
        <v>24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D0C4E"/>
    <pageSetUpPr fitToPage="1"/>
  </sheetPr>
  <dimension ref="A1:I314"/>
  <sheetViews>
    <sheetView showGridLines="0" tabSelected="1" topLeftCell="C1" zoomScale="70" zoomScaleNormal="70" workbookViewId="0">
      <pane ySplit="5" topLeftCell="A6" activePane="bottomLeft" state="frozen"/>
      <selection pane="bottomLeft" activeCell="I6" sqref="I6"/>
    </sheetView>
  </sheetViews>
  <sheetFormatPr defaultColWidth="8.6640625" defaultRowHeight="14.4" x14ac:dyDescent="0.3"/>
  <cols>
    <col min="1" max="1" width="9" customWidth="1"/>
    <col min="2" max="2" width="26" customWidth="1"/>
    <col min="3" max="3" width="62" customWidth="1"/>
    <col min="4" max="4" width="22" customWidth="1"/>
    <col min="5" max="6" width="30" customWidth="1"/>
    <col min="7" max="7" width="16" customWidth="1"/>
    <col min="8" max="8" width="34" customWidth="1"/>
    <col min="9" max="9" width="15.33203125" style="29" customWidth="1"/>
  </cols>
  <sheetData>
    <row r="1" spans="1:9" ht="27.6" customHeight="1" x14ac:dyDescent="0.3">
      <c r="A1" s="24"/>
      <c r="B1" s="24"/>
      <c r="C1" s="54" t="s">
        <v>25</v>
      </c>
      <c r="D1" s="55"/>
      <c r="E1" s="55"/>
      <c r="F1" s="55"/>
      <c r="G1" s="55"/>
      <c r="H1" s="55"/>
      <c r="I1" s="56"/>
    </row>
    <row r="2" spans="1:9" ht="18" customHeight="1" x14ac:dyDescent="0.3">
      <c r="A2" s="24"/>
      <c r="B2" s="24"/>
      <c r="C2" s="57" t="s">
        <v>26</v>
      </c>
      <c r="D2" s="55"/>
      <c r="E2" s="55"/>
      <c r="F2" s="55"/>
      <c r="G2" s="55"/>
      <c r="H2" s="55"/>
      <c r="I2" s="56"/>
    </row>
    <row r="3" spans="1:9" ht="18" customHeight="1" x14ac:dyDescent="0.3">
      <c r="A3" s="24"/>
      <c r="B3" s="24"/>
      <c r="C3" s="57" t="s">
        <v>27</v>
      </c>
      <c r="D3" s="55"/>
      <c r="E3" s="55"/>
      <c r="F3" s="55"/>
      <c r="G3" s="55"/>
      <c r="H3" s="55"/>
      <c r="I3" s="56"/>
    </row>
    <row r="4" spans="1:9" x14ac:dyDescent="0.3">
      <c r="A4" s="1"/>
      <c r="B4" s="1"/>
      <c r="C4" s="1"/>
      <c r="D4" s="1"/>
      <c r="E4" s="1"/>
      <c r="F4" s="1"/>
      <c r="G4" s="1"/>
      <c r="H4" s="1"/>
      <c r="I4" s="25"/>
    </row>
    <row r="5" spans="1:9" ht="54" customHeight="1" x14ac:dyDescent="0.3">
      <c r="A5" s="2" t="s">
        <v>3</v>
      </c>
      <c r="B5" s="2" t="s">
        <v>28</v>
      </c>
      <c r="C5" s="2" t="s">
        <v>29</v>
      </c>
      <c r="D5" s="2" t="s">
        <v>30</v>
      </c>
      <c r="E5" s="2" t="s">
        <v>31</v>
      </c>
      <c r="F5" s="2" t="s">
        <v>32</v>
      </c>
      <c r="G5" s="2" t="s">
        <v>7</v>
      </c>
      <c r="H5" s="2" t="s">
        <v>9</v>
      </c>
      <c r="I5" s="2" t="s">
        <v>11</v>
      </c>
    </row>
    <row r="6" spans="1:9" ht="48.6" customHeight="1" x14ac:dyDescent="0.3">
      <c r="A6" s="3" t="s">
        <v>33</v>
      </c>
      <c r="B6" s="4" t="s">
        <v>34</v>
      </c>
      <c r="C6" s="4" t="s">
        <v>35</v>
      </c>
      <c r="D6" s="5" t="s">
        <v>14</v>
      </c>
      <c r="E6" s="4" t="s">
        <v>36</v>
      </c>
      <c r="F6" s="3" t="s">
        <v>37</v>
      </c>
      <c r="G6" s="4"/>
      <c r="H6" s="4"/>
      <c r="I6" s="26" t="s">
        <v>38</v>
      </c>
    </row>
    <row r="7" spans="1:9" ht="32.4" customHeight="1" x14ac:dyDescent="0.3">
      <c r="A7" s="3" t="s">
        <v>39</v>
      </c>
      <c r="B7" s="4" t="s">
        <v>34</v>
      </c>
      <c r="C7" s="4" t="s">
        <v>40</v>
      </c>
      <c r="D7" s="6" t="s">
        <v>18</v>
      </c>
      <c r="E7" s="4" t="s">
        <v>36</v>
      </c>
      <c r="F7" s="3" t="s">
        <v>37</v>
      </c>
      <c r="G7" s="4"/>
      <c r="H7" s="4"/>
      <c r="I7" s="27" t="s">
        <v>41</v>
      </c>
    </row>
    <row r="8" spans="1:9" ht="48.6" customHeight="1" x14ac:dyDescent="0.3">
      <c r="A8" s="3" t="s">
        <v>42</v>
      </c>
      <c r="B8" s="4" t="s">
        <v>34</v>
      </c>
      <c r="C8" s="4" t="s">
        <v>43</v>
      </c>
      <c r="D8" s="7" t="s">
        <v>16</v>
      </c>
      <c r="E8" s="4" t="s">
        <v>44</v>
      </c>
      <c r="F8" s="3" t="s">
        <v>45</v>
      </c>
      <c r="G8" s="4"/>
      <c r="H8" s="4"/>
      <c r="I8" s="28" t="s">
        <v>46</v>
      </c>
    </row>
    <row r="9" spans="1:9" ht="48.6" customHeight="1" x14ac:dyDescent="0.3">
      <c r="A9" s="3" t="s">
        <v>47</v>
      </c>
      <c r="B9" s="4" t="s">
        <v>34</v>
      </c>
      <c r="C9" s="44" t="s">
        <v>48</v>
      </c>
      <c r="D9" s="6" t="s">
        <v>18</v>
      </c>
      <c r="E9" s="4" t="s">
        <v>44</v>
      </c>
      <c r="F9" s="3" t="s">
        <v>45</v>
      </c>
      <c r="G9" s="4"/>
      <c r="H9" s="44" t="s">
        <v>49</v>
      </c>
      <c r="I9" s="27" t="s">
        <v>41</v>
      </c>
    </row>
    <row r="10" spans="1:9" ht="48.6" customHeight="1" x14ac:dyDescent="0.3">
      <c r="A10" s="3" t="s">
        <v>50</v>
      </c>
      <c r="B10" s="4" t="s">
        <v>34</v>
      </c>
      <c r="C10" s="4" t="s">
        <v>51</v>
      </c>
      <c r="D10" s="5" t="s">
        <v>14</v>
      </c>
      <c r="E10" s="4" t="s">
        <v>52</v>
      </c>
      <c r="F10" s="3" t="s">
        <v>53</v>
      </c>
      <c r="G10" s="4"/>
      <c r="H10" s="4"/>
      <c r="I10" s="26" t="s">
        <v>38</v>
      </c>
    </row>
    <row r="11" spans="1:9" ht="32.4" customHeight="1" x14ac:dyDescent="0.3">
      <c r="A11" s="3" t="s">
        <v>54</v>
      </c>
      <c r="B11" s="4" t="s">
        <v>34</v>
      </c>
      <c r="C11" s="4" t="s">
        <v>55</v>
      </c>
      <c r="D11" s="6" t="s">
        <v>18</v>
      </c>
      <c r="E11" s="4" t="s">
        <v>56</v>
      </c>
      <c r="F11" s="3" t="s">
        <v>57</v>
      </c>
      <c r="G11" s="4"/>
      <c r="H11" s="4" t="s">
        <v>58</v>
      </c>
      <c r="I11" s="27" t="s">
        <v>41</v>
      </c>
    </row>
    <row r="12" spans="1:9" ht="32.4" customHeight="1" x14ac:dyDescent="0.3">
      <c r="A12" s="3" t="s">
        <v>59</v>
      </c>
      <c r="B12" s="4" t="s">
        <v>34</v>
      </c>
      <c r="C12" s="4" t="s">
        <v>60</v>
      </c>
      <c r="D12" s="5" t="s">
        <v>18</v>
      </c>
      <c r="E12" s="4" t="s">
        <v>36</v>
      </c>
      <c r="F12" s="3" t="s">
        <v>61</v>
      </c>
      <c r="G12" s="4"/>
      <c r="H12" s="4" t="s">
        <v>62</v>
      </c>
      <c r="I12" s="27" t="s">
        <v>41</v>
      </c>
    </row>
    <row r="13" spans="1:9" ht="32.4" customHeight="1" x14ac:dyDescent="0.3">
      <c r="A13" s="3" t="s">
        <v>63</v>
      </c>
      <c r="B13" s="4" t="s">
        <v>34</v>
      </c>
      <c r="C13" s="4" t="s">
        <v>64</v>
      </c>
      <c r="D13" s="6" t="s">
        <v>14</v>
      </c>
      <c r="E13" s="4" t="s">
        <v>36</v>
      </c>
      <c r="F13" s="3" t="s">
        <v>37</v>
      </c>
      <c r="G13" s="4"/>
      <c r="H13" s="4" t="s">
        <v>65</v>
      </c>
      <c r="I13" s="26" t="s">
        <v>38</v>
      </c>
    </row>
    <row r="14" spans="1:9" ht="32.4" customHeight="1" x14ac:dyDescent="0.3">
      <c r="A14" s="3" t="s">
        <v>66</v>
      </c>
      <c r="B14" s="4" t="s">
        <v>34</v>
      </c>
      <c r="C14" s="4" t="s">
        <v>67</v>
      </c>
      <c r="D14" s="8" t="s">
        <v>14</v>
      </c>
      <c r="E14" s="4" t="s">
        <v>36</v>
      </c>
      <c r="F14" s="3" t="s">
        <v>61</v>
      </c>
      <c r="G14" s="4"/>
      <c r="H14" s="4" t="s">
        <v>68</v>
      </c>
      <c r="I14" s="26" t="s">
        <v>38</v>
      </c>
    </row>
    <row r="15" spans="1:9" ht="48.6" customHeight="1" x14ac:dyDescent="0.3">
      <c r="A15" s="3" t="s">
        <v>69</v>
      </c>
      <c r="B15" s="4" t="s">
        <v>34</v>
      </c>
      <c r="C15" s="4" t="s">
        <v>70</v>
      </c>
      <c r="D15" s="5" t="s">
        <v>18</v>
      </c>
      <c r="E15" s="4" t="s">
        <v>71</v>
      </c>
      <c r="F15" s="3" t="s">
        <v>37</v>
      </c>
      <c r="G15" s="4"/>
      <c r="H15" s="4" t="s">
        <v>72</v>
      </c>
      <c r="I15" s="27" t="s">
        <v>41</v>
      </c>
    </row>
    <row r="16" spans="1:9" ht="48.6" customHeight="1" x14ac:dyDescent="0.3">
      <c r="A16" s="3" t="s">
        <v>73</v>
      </c>
      <c r="B16" s="4" t="s">
        <v>34</v>
      </c>
      <c r="C16" s="4" t="s">
        <v>74</v>
      </c>
      <c r="D16" s="6" t="s">
        <v>14</v>
      </c>
      <c r="E16" s="4" t="s">
        <v>75</v>
      </c>
      <c r="F16" s="3" t="s">
        <v>76</v>
      </c>
      <c r="G16" s="4"/>
      <c r="H16" s="4" t="s">
        <v>77</v>
      </c>
      <c r="I16" s="26" t="s">
        <v>38</v>
      </c>
    </row>
    <row r="17" spans="1:9" ht="48.6" customHeight="1" x14ac:dyDescent="0.3">
      <c r="A17" s="3" t="s">
        <v>78</v>
      </c>
      <c r="B17" s="4" t="s">
        <v>34</v>
      </c>
      <c r="C17" s="4" t="s">
        <v>79</v>
      </c>
      <c r="D17" s="5" t="s">
        <v>18</v>
      </c>
      <c r="E17" s="4" t="s">
        <v>36</v>
      </c>
      <c r="F17" s="3" t="s">
        <v>61</v>
      </c>
      <c r="G17" s="4"/>
      <c r="H17" s="4" t="s">
        <v>80</v>
      </c>
      <c r="I17" s="27" t="s">
        <v>41</v>
      </c>
    </row>
    <row r="18" spans="1:9" ht="32.4" customHeight="1" x14ac:dyDescent="0.3">
      <c r="A18" s="3" t="s">
        <v>81</v>
      </c>
      <c r="B18" s="4" t="s">
        <v>34</v>
      </c>
      <c r="C18" s="4" t="s">
        <v>82</v>
      </c>
      <c r="D18" s="6" t="s">
        <v>18</v>
      </c>
      <c r="E18" s="4" t="s">
        <v>36</v>
      </c>
      <c r="F18" s="3" t="s">
        <v>83</v>
      </c>
      <c r="G18" s="4"/>
      <c r="H18" s="4" t="s">
        <v>84</v>
      </c>
      <c r="I18" s="27" t="s">
        <v>41</v>
      </c>
    </row>
    <row r="19" spans="1:9" ht="42.6" customHeight="1" x14ac:dyDescent="0.3">
      <c r="A19" s="3" t="s">
        <v>85</v>
      </c>
      <c r="B19" s="4" t="s">
        <v>34</v>
      </c>
      <c r="C19" s="4" t="s">
        <v>86</v>
      </c>
      <c r="D19" s="5" t="s">
        <v>18</v>
      </c>
      <c r="E19" s="4" t="s">
        <v>87</v>
      </c>
      <c r="F19" s="3" t="s">
        <v>88</v>
      </c>
      <c r="G19" s="4"/>
      <c r="H19" s="4" t="s">
        <v>89</v>
      </c>
      <c r="I19" s="27" t="s">
        <v>41</v>
      </c>
    </row>
    <row r="20" spans="1:9" ht="32.4" customHeight="1" x14ac:dyDescent="0.3">
      <c r="A20" s="3" t="s">
        <v>90</v>
      </c>
      <c r="B20" s="4" t="s">
        <v>34</v>
      </c>
      <c r="C20" s="4" t="s">
        <v>91</v>
      </c>
      <c r="D20" s="6" t="s">
        <v>18</v>
      </c>
      <c r="E20" s="4" t="s">
        <v>56</v>
      </c>
      <c r="F20" s="3" t="s">
        <v>92</v>
      </c>
      <c r="G20" s="4"/>
      <c r="H20" s="4"/>
      <c r="I20" s="27" t="s">
        <v>41</v>
      </c>
    </row>
    <row r="21" spans="1:9" ht="64.95" customHeight="1" x14ac:dyDescent="0.3">
      <c r="A21" s="3" t="s">
        <v>93</v>
      </c>
      <c r="B21" s="4" t="s">
        <v>34</v>
      </c>
      <c r="C21" s="4" t="s">
        <v>94</v>
      </c>
      <c r="D21" s="8" t="s">
        <v>20</v>
      </c>
      <c r="E21" s="4" t="s">
        <v>95</v>
      </c>
      <c r="F21" s="3" t="s">
        <v>96</v>
      </c>
      <c r="G21" s="4"/>
      <c r="H21" s="4" t="s">
        <v>97</v>
      </c>
      <c r="I21" s="27" t="s">
        <v>41</v>
      </c>
    </row>
    <row r="22" spans="1:9" ht="48.6" customHeight="1" x14ac:dyDescent="0.3">
      <c r="A22" s="3" t="s">
        <v>98</v>
      </c>
      <c r="B22" s="4" t="s">
        <v>34</v>
      </c>
      <c r="C22" s="4" t="s">
        <v>99</v>
      </c>
      <c r="D22" s="8" t="s">
        <v>18</v>
      </c>
      <c r="E22" s="4" t="s">
        <v>100</v>
      </c>
      <c r="F22" s="3" t="s">
        <v>101</v>
      </c>
      <c r="G22" s="4"/>
      <c r="H22" s="4" t="s">
        <v>102</v>
      </c>
      <c r="I22" s="27" t="s">
        <v>41</v>
      </c>
    </row>
    <row r="23" spans="1:9" ht="32.4" customHeight="1" x14ac:dyDescent="0.3">
      <c r="A23" s="3" t="s">
        <v>103</v>
      </c>
      <c r="B23" s="4" t="s">
        <v>34</v>
      </c>
      <c r="C23" s="4" t="s">
        <v>104</v>
      </c>
      <c r="D23" s="5" t="s">
        <v>18</v>
      </c>
      <c r="E23" s="4" t="s">
        <v>36</v>
      </c>
      <c r="F23" s="3" t="s">
        <v>61</v>
      </c>
      <c r="G23" s="4"/>
      <c r="H23" s="4" t="s">
        <v>105</v>
      </c>
      <c r="I23" s="27" t="s">
        <v>41</v>
      </c>
    </row>
    <row r="24" spans="1:9" ht="32.4" customHeight="1" x14ac:dyDescent="0.3">
      <c r="A24" s="3" t="s">
        <v>106</v>
      </c>
      <c r="B24" s="4" t="s">
        <v>34</v>
      </c>
      <c r="C24" s="4" t="s">
        <v>107</v>
      </c>
      <c r="D24" s="6" t="s">
        <v>18</v>
      </c>
      <c r="E24" s="4" t="s">
        <v>108</v>
      </c>
      <c r="F24" s="3" t="s">
        <v>109</v>
      </c>
      <c r="G24" s="4"/>
      <c r="H24" s="4"/>
      <c r="I24" s="27" t="s">
        <v>41</v>
      </c>
    </row>
    <row r="25" spans="1:9" ht="48.6" customHeight="1" x14ac:dyDescent="0.3">
      <c r="A25" s="3" t="s">
        <v>110</v>
      </c>
      <c r="B25" s="4" t="s">
        <v>34</v>
      </c>
      <c r="C25" s="4" t="s">
        <v>111</v>
      </c>
      <c r="D25" s="5" t="s">
        <v>14</v>
      </c>
      <c r="E25" s="4" t="s">
        <v>112</v>
      </c>
      <c r="F25" s="3" t="s">
        <v>113</v>
      </c>
      <c r="G25" s="4"/>
      <c r="H25" s="4" t="s">
        <v>114</v>
      </c>
      <c r="I25" s="26" t="s">
        <v>38</v>
      </c>
    </row>
    <row r="26" spans="1:9" ht="32.4" customHeight="1" x14ac:dyDescent="0.3">
      <c r="A26" s="3" t="s">
        <v>115</v>
      </c>
      <c r="B26" s="4" t="s">
        <v>34</v>
      </c>
      <c r="C26" s="44" t="s">
        <v>116</v>
      </c>
      <c r="D26" s="6" t="s">
        <v>14</v>
      </c>
      <c r="E26" s="4" t="s">
        <v>36</v>
      </c>
      <c r="F26" s="3" t="s">
        <v>117</v>
      </c>
      <c r="G26" s="4"/>
      <c r="H26" s="4" t="s">
        <v>118</v>
      </c>
      <c r="I26" s="26" t="s">
        <v>38</v>
      </c>
    </row>
    <row r="27" spans="1:9" ht="48.6" x14ac:dyDescent="0.3">
      <c r="A27" s="3" t="s">
        <v>119</v>
      </c>
      <c r="B27" s="4" t="s">
        <v>34</v>
      </c>
      <c r="C27" s="4" t="s">
        <v>120</v>
      </c>
      <c r="D27" s="6" t="s">
        <v>18</v>
      </c>
      <c r="E27" s="4" t="s">
        <v>108</v>
      </c>
      <c r="F27" s="3" t="s">
        <v>117</v>
      </c>
      <c r="G27" s="4"/>
      <c r="H27" s="4"/>
      <c r="I27" s="27" t="s">
        <v>41</v>
      </c>
    </row>
    <row r="28" spans="1:9" ht="32.4" customHeight="1" x14ac:dyDescent="0.3">
      <c r="A28" s="3" t="s">
        <v>121</v>
      </c>
      <c r="B28" s="4" t="s">
        <v>34</v>
      </c>
      <c r="C28" s="4" t="s">
        <v>122</v>
      </c>
      <c r="D28" s="6" t="s">
        <v>18</v>
      </c>
      <c r="E28" s="4" t="s">
        <v>56</v>
      </c>
      <c r="F28" s="3" t="s">
        <v>92</v>
      </c>
      <c r="G28" s="4"/>
      <c r="H28" s="4" t="s">
        <v>123</v>
      </c>
      <c r="I28" s="27" t="s">
        <v>41</v>
      </c>
    </row>
    <row r="29" spans="1:9" ht="48.6" customHeight="1" x14ac:dyDescent="0.3">
      <c r="A29" s="3" t="s">
        <v>124</v>
      </c>
      <c r="B29" s="4" t="s">
        <v>34</v>
      </c>
      <c r="C29" s="4" t="s">
        <v>125</v>
      </c>
      <c r="D29" s="6" t="s">
        <v>18</v>
      </c>
      <c r="E29" s="4" t="s">
        <v>126</v>
      </c>
      <c r="F29" s="3" t="s">
        <v>127</v>
      </c>
      <c r="G29" s="4"/>
      <c r="H29" s="4" t="s">
        <v>128</v>
      </c>
      <c r="I29" s="27" t="s">
        <v>41</v>
      </c>
    </row>
    <row r="30" spans="1:9" ht="97.2" customHeight="1" x14ac:dyDescent="0.3">
      <c r="A30" s="3" t="s">
        <v>129</v>
      </c>
      <c r="B30" s="4" t="s">
        <v>34</v>
      </c>
      <c r="C30" s="4" t="s">
        <v>130</v>
      </c>
      <c r="D30" s="8" t="s">
        <v>20</v>
      </c>
      <c r="E30" s="4" t="s">
        <v>131</v>
      </c>
      <c r="F30" s="3" t="s">
        <v>132</v>
      </c>
      <c r="G30" s="4"/>
      <c r="H30" s="4"/>
      <c r="I30" s="27" t="s">
        <v>41</v>
      </c>
    </row>
    <row r="31" spans="1:9" ht="32.4" customHeight="1" x14ac:dyDescent="0.3">
      <c r="A31" s="3" t="s">
        <v>133</v>
      </c>
      <c r="B31" s="4" t="s">
        <v>34</v>
      </c>
      <c r="C31" s="4" t="s">
        <v>134</v>
      </c>
      <c r="D31" s="6" t="s">
        <v>14</v>
      </c>
      <c r="E31" s="4" t="s">
        <v>36</v>
      </c>
      <c r="F31" s="3" t="s">
        <v>117</v>
      </c>
      <c r="G31" s="4"/>
      <c r="H31" s="4" t="s">
        <v>135</v>
      </c>
      <c r="I31" s="26" t="s">
        <v>38</v>
      </c>
    </row>
    <row r="32" spans="1:9" ht="48.6" customHeight="1" x14ac:dyDescent="0.3">
      <c r="A32" s="3" t="s">
        <v>136</v>
      </c>
      <c r="B32" s="4" t="s">
        <v>34</v>
      </c>
      <c r="C32" s="4" t="s">
        <v>137</v>
      </c>
      <c r="D32" s="6" t="s">
        <v>18</v>
      </c>
      <c r="E32" s="4" t="s">
        <v>108</v>
      </c>
      <c r="F32" s="3" t="s">
        <v>138</v>
      </c>
      <c r="G32" s="4"/>
      <c r="H32" s="4"/>
      <c r="I32" s="27" t="s">
        <v>41</v>
      </c>
    </row>
    <row r="33" spans="1:9" ht="48.6" customHeight="1" x14ac:dyDescent="0.3">
      <c r="A33" s="3" t="s">
        <v>139</v>
      </c>
      <c r="B33" s="4" t="s">
        <v>34</v>
      </c>
      <c r="C33" s="4" t="s">
        <v>140</v>
      </c>
      <c r="D33" s="7" t="s">
        <v>14</v>
      </c>
      <c r="E33" s="4" t="s">
        <v>36</v>
      </c>
      <c r="F33" s="3" t="s">
        <v>37</v>
      </c>
      <c r="G33" s="4"/>
      <c r="H33" s="4" t="s">
        <v>141</v>
      </c>
      <c r="I33" s="26" t="s">
        <v>38</v>
      </c>
    </row>
    <row r="34" spans="1:9" ht="48.6" customHeight="1" x14ac:dyDescent="0.3">
      <c r="A34" s="45" t="s">
        <v>142</v>
      </c>
      <c r="B34" s="46" t="s">
        <v>34</v>
      </c>
      <c r="C34" s="46" t="s">
        <v>143</v>
      </c>
      <c r="D34" s="45"/>
      <c r="E34" s="46" t="s">
        <v>144</v>
      </c>
      <c r="F34" s="45" t="s">
        <v>145</v>
      </c>
      <c r="G34" s="46"/>
      <c r="H34" s="46" t="s">
        <v>146</v>
      </c>
      <c r="I34" s="47"/>
    </row>
    <row r="35" spans="1:9" ht="32.4" customHeight="1" x14ac:dyDescent="0.3">
      <c r="A35" s="3" t="s">
        <v>147</v>
      </c>
      <c r="B35" s="4" t="s">
        <v>148</v>
      </c>
      <c r="C35" s="4" t="s">
        <v>149</v>
      </c>
      <c r="D35" s="6" t="s">
        <v>18</v>
      </c>
      <c r="E35" s="4" t="s">
        <v>150</v>
      </c>
      <c r="F35" s="3" t="s">
        <v>76</v>
      </c>
      <c r="G35" s="4"/>
      <c r="H35" s="44" t="s">
        <v>151</v>
      </c>
      <c r="I35" s="27" t="s">
        <v>41</v>
      </c>
    </row>
    <row r="36" spans="1:9" ht="16.2" customHeight="1" x14ac:dyDescent="0.3">
      <c r="A36" s="3" t="s">
        <v>152</v>
      </c>
      <c r="B36" s="4" t="s">
        <v>148</v>
      </c>
      <c r="C36" s="4" t="s">
        <v>153</v>
      </c>
      <c r="D36" s="5" t="s">
        <v>14</v>
      </c>
      <c r="E36" s="4" t="s">
        <v>150</v>
      </c>
      <c r="F36" s="3" t="s">
        <v>76</v>
      </c>
      <c r="G36" s="4"/>
      <c r="H36" s="4" t="s">
        <v>154</v>
      </c>
      <c r="I36" s="26" t="s">
        <v>38</v>
      </c>
    </row>
    <row r="37" spans="1:9" ht="32.4" customHeight="1" x14ac:dyDescent="0.3">
      <c r="A37" s="3" t="s">
        <v>155</v>
      </c>
      <c r="B37" s="4" t="s">
        <v>148</v>
      </c>
      <c r="C37" s="4" t="s">
        <v>156</v>
      </c>
      <c r="D37" s="5" t="s">
        <v>14</v>
      </c>
      <c r="E37" s="4" t="s">
        <v>150</v>
      </c>
      <c r="F37" s="3" t="s">
        <v>157</v>
      </c>
      <c r="G37" s="4"/>
      <c r="H37" s="4"/>
      <c r="I37" s="26" t="s">
        <v>38</v>
      </c>
    </row>
    <row r="38" spans="1:9" ht="32.4" customHeight="1" x14ac:dyDescent="0.3">
      <c r="A38" s="3" t="s">
        <v>158</v>
      </c>
      <c r="B38" s="4" t="s">
        <v>148</v>
      </c>
      <c r="C38" s="4" t="s">
        <v>159</v>
      </c>
      <c r="D38" s="6" t="s">
        <v>18</v>
      </c>
      <c r="E38" s="4" t="s">
        <v>160</v>
      </c>
      <c r="F38" s="3" t="s">
        <v>76</v>
      </c>
      <c r="G38" s="4"/>
      <c r="H38" s="44" t="s">
        <v>161</v>
      </c>
      <c r="I38" s="27" t="s">
        <v>41</v>
      </c>
    </row>
    <row r="39" spans="1:9" ht="32.4" customHeight="1" x14ac:dyDescent="0.3">
      <c r="A39" s="3" t="s">
        <v>162</v>
      </c>
      <c r="B39" s="4" t="s">
        <v>148</v>
      </c>
      <c r="C39" s="4" t="s">
        <v>163</v>
      </c>
      <c r="D39" s="6" t="s">
        <v>14</v>
      </c>
      <c r="E39" s="4" t="s">
        <v>150</v>
      </c>
      <c r="F39" s="3" t="s">
        <v>164</v>
      </c>
      <c r="G39" s="4"/>
      <c r="H39" s="44" t="s">
        <v>165</v>
      </c>
      <c r="I39" s="26" t="s">
        <v>38</v>
      </c>
    </row>
    <row r="40" spans="1:9" ht="16.2" customHeight="1" x14ac:dyDescent="0.3">
      <c r="A40" s="3" t="s">
        <v>166</v>
      </c>
      <c r="B40" s="4" t="s">
        <v>148</v>
      </c>
      <c r="C40" s="4" t="s">
        <v>167</v>
      </c>
      <c r="D40" s="5" t="s">
        <v>14</v>
      </c>
      <c r="E40" s="4" t="s">
        <v>150</v>
      </c>
      <c r="F40" s="3" t="s">
        <v>164</v>
      </c>
      <c r="G40" s="4"/>
      <c r="H40" s="4" t="s">
        <v>168</v>
      </c>
      <c r="I40" s="26" t="s">
        <v>38</v>
      </c>
    </row>
    <row r="41" spans="1:9" ht="32.4" customHeight="1" x14ac:dyDescent="0.3">
      <c r="A41" s="3" t="s">
        <v>169</v>
      </c>
      <c r="B41" s="4" t="s">
        <v>148</v>
      </c>
      <c r="C41" s="4" t="s">
        <v>170</v>
      </c>
      <c r="D41" s="6" t="s">
        <v>18</v>
      </c>
      <c r="E41" s="4" t="s">
        <v>150</v>
      </c>
      <c r="F41" s="3" t="s">
        <v>157</v>
      </c>
      <c r="G41" s="4"/>
      <c r="H41" s="4"/>
      <c r="I41" s="27" t="s">
        <v>41</v>
      </c>
    </row>
    <row r="42" spans="1:9" ht="32.4" customHeight="1" x14ac:dyDescent="0.3">
      <c r="A42" s="3" t="s">
        <v>171</v>
      </c>
      <c r="B42" s="4" t="s">
        <v>148</v>
      </c>
      <c r="C42" s="4" t="s">
        <v>172</v>
      </c>
      <c r="D42" s="9" t="s">
        <v>22</v>
      </c>
      <c r="E42" s="4" t="s">
        <v>173</v>
      </c>
      <c r="F42" s="3" t="s">
        <v>174</v>
      </c>
      <c r="G42" s="4"/>
      <c r="H42" s="4" t="s">
        <v>175</v>
      </c>
      <c r="I42" s="27" t="s">
        <v>41</v>
      </c>
    </row>
    <row r="43" spans="1:9" ht="32.4" customHeight="1" x14ac:dyDescent="0.3">
      <c r="A43" s="3" t="s">
        <v>176</v>
      </c>
      <c r="B43" s="4" t="s">
        <v>177</v>
      </c>
      <c r="C43" s="4" t="s">
        <v>178</v>
      </c>
      <c r="D43" s="6" t="s">
        <v>18</v>
      </c>
      <c r="E43" s="4" t="s">
        <v>179</v>
      </c>
      <c r="F43" s="3" t="s">
        <v>180</v>
      </c>
      <c r="G43" s="4"/>
      <c r="H43" s="44" t="s">
        <v>181</v>
      </c>
      <c r="I43" s="27" t="s">
        <v>41</v>
      </c>
    </row>
    <row r="44" spans="1:9" ht="24.6" customHeight="1" x14ac:dyDescent="0.3">
      <c r="A44" s="3" t="s">
        <v>182</v>
      </c>
      <c r="B44" s="4" t="s">
        <v>177</v>
      </c>
      <c r="C44" s="4" t="s">
        <v>183</v>
      </c>
      <c r="D44" s="5" t="s">
        <v>14</v>
      </c>
      <c r="E44" s="4" t="s">
        <v>184</v>
      </c>
      <c r="F44" s="3" t="s">
        <v>185</v>
      </c>
      <c r="G44" s="4"/>
      <c r="H44" s="4" t="s">
        <v>186</v>
      </c>
      <c r="I44" s="26" t="s">
        <v>38</v>
      </c>
    </row>
    <row r="45" spans="1:9" ht="32.4" customHeight="1" x14ac:dyDescent="0.3">
      <c r="A45" s="3" t="s">
        <v>187</v>
      </c>
      <c r="B45" s="4" t="s">
        <v>177</v>
      </c>
      <c r="C45" s="4" t="s">
        <v>188</v>
      </c>
      <c r="D45" s="6" t="s">
        <v>14</v>
      </c>
      <c r="E45" s="4" t="s">
        <v>189</v>
      </c>
      <c r="F45" s="3" t="s">
        <v>190</v>
      </c>
      <c r="G45" s="4"/>
      <c r="H45" s="44" t="s">
        <v>191</v>
      </c>
      <c r="I45" s="26" t="s">
        <v>38</v>
      </c>
    </row>
    <row r="46" spans="1:9" ht="32.4" customHeight="1" x14ac:dyDescent="0.3">
      <c r="A46" s="45" t="s">
        <v>192</v>
      </c>
      <c r="B46" s="46" t="s">
        <v>177</v>
      </c>
      <c r="C46" s="46" t="s">
        <v>193</v>
      </c>
      <c r="D46" s="45"/>
      <c r="E46" s="46" t="s">
        <v>194</v>
      </c>
      <c r="F46" s="45" t="s">
        <v>195</v>
      </c>
      <c r="G46" s="46"/>
      <c r="H46" s="46" t="s">
        <v>196</v>
      </c>
      <c r="I46" s="47"/>
    </row>
    <row r="47" spans="1:9" ht="48.6" customHeight="1" x14ac:dyDescent="0.3">
      <c r="A47" s="3" t="s">
        <v>197</v>
      </c>
      <c r="B47" s="4" t="s">
        <v>177</v>
      </c>
      <c r="C47" s="4" t="s">
        <v>198</v>
      </c>
      <c r="D47" s="6" t="s">
        <v>18</v>
      </c>
      <c r="E47" s="4" t="s">
        <v>189</v>
      </c>
      <c r="F47" s="3" t="s">
        <v>199</v>
      </c>
      <c r="G47" s="4"/>
      <c r="H47" s="4" t="s">
        <v>200</v>
      </c>
      <c r="I47" s="27" t="s">
        <v>41</v>
      </c>
    </row>
    <row r="48" spans="1:9" ht="32.4" customHeight="1" x14ac:dyDescent="0.3">
      <c r="A48" s="3" t="s">
        <v>201</v>
      </c>
      <c r="B48" s="4" t="s">
        <v>177</v>
      </c>
      <c r="C48" s="4" t="s">
        <v>202</v>
      </c>
      <c r="D48" s="5" t="s">
        <v>14</v>
      </c>
      <c r="E48" s="4" t="s">
        <v>189</v>
      </c>
      <c r="F48" s="3" t="s">
        <v>185</v>
      </c>
      <c r="G48" s="4"/>
      <c r="H48" s="4"/>
      <c r="I48" s="26" t="s">
        <v>38</v>
      </c>
    </row>
    <row r="49" spans="1:9" ht="32.4" customHeight="1" x14ac:dyDescent="0.3">
      <c r="A49" s="3" t="s">
        <v>203</v>
      </c>
      <c r="B49" s="4" t="s">
        <v>177</v>
      </c>
      <c r="C49" s="4" t="s">
        <v>204</v>
      </c>
      <c r="D49" s="6" t="s">
        <v>18</v>
      </c>
      <c r="E49" s="4" t="s">
        <v>205</v>
      </c>
      <c r="F49" s="3" t="s">
        <v>101</v>
      </c>
      <c r="G49" s="4"/>
      <c r="H49" s="4"/>
      <c r="I49" s="27" t="s">
        <v>41</v>
      </c>
    </row>
    <row r="50" spans="1:9" ht="48.6" customHeight="1" x14ac:dyDescent="0.3">
      <c r="A50" s="3" t="s">
        <v>206</v>
      </c>
      <c r="B50" s="4" t="s">
        <v>177</v>
      </c>
      <c r="C50" s="4" t="s">
        <v>207</v>
      </c>
      <c r="D50" s="8" t="s">
        <v>20</v>
      </c>
      <c r="E50" s="4" t="s">
        <v>208</v>
      </c>
      <c r="F50" s="3" t="s">
        <v>209</v>
      </c>
      <c r="G50" s="4"/>
      <c r="H50" s="4" t="s">
        <v>210</v>
      </c>
      <c r="I50" s="27" t="s">
        <v>41</v>
      </c>
    </row>
    <row r="51" spans="1:9" ht="16.2" customHeight="1" x14ac:dyDescent="0.3">
      <c r="A51" s="3" t="s">
        <v>211</v>
      </c>
      <c r="B51" s="4" t="s">
        <v>177</v>
      </c>
      <c r="C51" s="4" t="s">
        <v>212</v>
      </c>
      <c r="D51" s="5" t="s">
        <v>14</v>
      </c>
      <c r="E51" s="4" t="s">
        <v>189</v>
      </c>
      <c r="F51" s="3" t="s">
        <v>101</v>
      </c>
      <c r="G51" s="4"/>
      <c r="H51" s="4"/>
      <c r="I51" s="26" t="s">
        <v>38</v>
      </c>
    </row>
    <row r="52" spans="1:9" ht="32.4" customHeight="1" x14ac:dyDescent="0.3">
      <c r="A52" s="3" t="s">
        <v>213</v>
      </c>
      <c r="B52" s="4" t="s">
        <v>177</v>
      </c>
      <c r="C52" s="4" t="s">
        <v>214</v>
      </c>
      <c r="D52" s="5" t="s">
        <v>18</v>
      </c>
      <c r="E52" s="4" t="s">
        <v>215</v>
      </c>
      <c r="F52" s="3" t="s">
        <v>216</v>
      </c>
      <c r="G52" s="4"/>
      <c r="H52" s="4" t="s">
        <v>217</v>
      </c>
      <c r="I52" s="27" t="s">
        <v>41</v>
      </c>
    </row>
    <row r="53" spans="1:9" ht="48.6" customHeight="1" x14ac:dyDescent="0.3">
      <c r="A53" s="3" t="s">
        <v>218</v>
      </c>
      <c r="B53" s="4" t="s">
        <v>177</v>
      </c>
      <c r="C53" s="4" t="s">
        <v>219</v>
      </c>
      <c r="D53" s="6" t="s">
        <v>18</v>
      </c>
      <c r="E53" s="4" t="s">
        <v>100</v>
      </c>
      <c r="F53" s="3" t="s">
        <v>101</v>
      </c>
      <c r="G53" s="4"/>
      <c r="H53" s="4" t="s">
        <v>220</v>
      </c>
      <c r="I53" s="27" t="s">
        <v>41</v>
      </c>
    </row>
    <row r="54" spans="1:9" ht="32.4" customHeight="1" x14ac:dyDescent="0.3">
      <c r="A54" s="3" t="s">
        <v>221</v>
      </c>
      <c r="B54" s="4" t="s">
        <v>177</v>
      </c>
      <c r="C54" s="4" t="s">
        <v>222</v>
      </c>
      <c r="D54" s="6" t="s">
        <v>18</v>
      </c>
      <c r="E54" s="4" t="s">
        <v>189</v>
      </c>
      <c r="F54" s="3" t="s">
        <v>101</v>
      </c>
      <c r="G54" s="4"/>
      <c r="H54" s="4" t="s">
        <v>223</v>
      </c>
      <c r="I54" s="27" t="s">
        <v>41</v>
      </c>
    </row>
    <row r="55" spans="1:9" ht="32.4" customHeight="1" x14ac:dyDescent="0.3">
      <c r="A55" s="3" t="s">
        <v>224</v>
      </c>
      <c r="B55" s="4" t="s">
        <v>177</v>
      </c>
      <c r="C55" s="4" t="s">
        <v>225</v>
      </c>
      <c r="D55" s="5" t="s">
        <v>14</v>
      </c>
      <c r="E55" s="4" t="s">
        <v>184</v>
      </c>
      <c r="F55" s="3" t="s">
        <v>226</v>
      </c>
      <c r="G55" s="4"/>
      <c r="H55" s="4"/>
      <c r="I55" s="26" t="s">
        <v>38</v>
      </c>
    </row>
    <row r="56" spans="1:9" ht="48.6" customHeight="1" x14ac:dyDescent="0.3">
      <c r="A56" s="3" t="s">
        <v>227</v>
      </c>
      <c r="B56" s="4" t="s">
        <v>177</v>
      </c>
      <c r="C56" s="4" t="s">
        <v>228</v>
      </c>
      <c r="D56" s="5" t="s">
        <v>18</v>
      </c>
      <c r="E56" s="4" t="s">
        <v>229</v>
      </c>
      <c r="F56" s="3" t="s">
        <v>230</v>
      </c>
      <c r="G56" s="4"/>
      <c r="H56" s="4" t="s">
        <v>231</v>
      </c>
      <c r="I56" s="27" t="s">
        <v>41</v>
      </c>
    </row>
    <row r="57" spans="1:9" ht="32.4" customHeight="1" x14ac:dyDescent="0.3">
      <c r="A57" s="3" t="s">
        <v>232</v>
      </c>
      <c r="B57" s="4" t="s">
        <v>177</v>
      </c>
      <c r="C57" s="4" t="s">
        <v>233</v>
      </c>
      <c r="D57" s="6" t="s">
        <v>18</v>
      </c>
      <c r="E57" s="4" t="s">
        <v>234</v>
      </c>
      <c r="F57" s="3" t="s">
        <v>235</v>
      </c>
      <c r="G57" s="4"/>
      <c r="H57" s="4" t="s">
        <v>236</v>
      </c>
      <c r="I57" s="27" t="s">
        <v>41</v>
      </c>
    </row>
    <row r="58" spans="1:9" ht="32.4" customHeight="1" x14ac:dyDescent="0.3">
      <c r="A58" s="3" t="s">
        <v>237</v>
      </c>
      <c r="B58" s="4" t="s">
        <v>177</v>
      </c>
      <c r="C58" s="4" t="s">
        <v>238</v>
      </c>
      <c r="D58" s="6" t="s">
        <v>18</v>
      </c>
      <c r="E58" s="4" t="s">
        <v>239</v>
      </c>
      <c r="F58" s="3" t="s">
        <v>230</v>
      </c>
      <c r="G58" s="4"/>
      <c r="H58" s="4" t="s">
        <v>240</v>
      </c>
      <c r="I58" s="27" t="s">
        <v>41</v>
      </c>
    </row>
    <row r="59" spans="1:9" ht="48.6" customHeight="1" x14ac:dyDescent="0.3">
      <c r="A59" s="3" t="s">
        <v>241</v>
      </c>
      <c r="B59" s="4" t="s">
        <v>177</v>
      </c>
      <c r="C59" s="4" t="s">
        <v>242</v>
      </c>
      <c r="D59" s="7" t="s">
        <v>16</v>
      </c>
      <c r="E59" s="4" t="s">
        <v>243</v>
      </c>
      <c r="F59" s="3" t="s">
        <v>244</v>
      </c>
      <c r="G59" s="4"/>
      <c r="H59" s="4" t="s">
        <v>245</v>
      </c>
      <c r="I59" s="28" t="s">
        <v>46</v>
      </c>
    </row>
    <row r="60" spans="1:9" ht="32.4" customHeight="1" x14ac:dyDescent="0.3">
      <c r="A60" s="3" t="s">
        <v>246</v>
      </c>
      <c r="B60" s="4" t="s">
        <v>177</v>
      </c>
      <c r="C60" s="4" t="s">
        <v>247</v>
      </c>
      <c r="D60" s="6" t="s">
        <v>18</v>
      </c>
      <c r="E60" s="4" t="s">
        <v>248</v>
      </c>
      <c r="F60" s="3" t="s">
        <v>249</v>
      </c>
      <c r="G60" s="4"/>
      <c r="H60" s="4"/>
      <c r="I60" s="27" t="s">
        <v>41</v>
      </c>
    </row>
    <row r="61" spans="1:9" ht="48.6" customHeight="1" x14ac:dyDescent="0.3">
      <c r="A61" s="3" t="s">
        <v>250</v>
      </c>
      <c r="B61" s="4" t="s">
        <v>177</v>
      </c>
      <c r="C61" s="4" t="s">
        <v>251</v>
      </c>
      <c r="D61" s="6" t="s">
        <v>18</v>
      </c>
      <c r="E61" s="4" t="s">
        <v>252</v>
      </c>
      <c r="F61" s="3" t="s">
        <v>253</v>
      </c>
      <c r="G61" s="4"/>
      <c r="H61" s="4"/>
      <c r="I61" s="27" t="s">
        <v>41</v>
      </c>
    </row>
    <row r="62" spans="1:9" ht="48.6" customHeight="1" x14ac:dyDescent="0.3">
      <c r="A62" s="3" t="s">
        <v>254</v>
      </c>
      <c r="B62" s="4" t="s">
        <v>177</v>
      </c>
      <c r="C62" s="4" t="s">
        <v>255</v>
      </c>
      <c r="D62" s="7" t="s">
        <v>18</v>
      </c>
      <c r="E62" s="4" t="s">
        <v>189</v>
      </c>
      <c r="F62" s="3" t="s">
        <v>185</v>
      </c>
      <c r="G62" s="4"/>
      <c r="H62" s="4" t="s">
        <v>256</v>
      </c>
      <c r="I62" s="27" t="s">
        <v>41</v>
      </c>
    </row>
    <row r="63" spans="1:9" ht="32.4" customHeight="1" x14ac:dyDescent="0.3">
      <c r="A63" s="3" t="s">
        <v>257</v>
      </c>
      <c r="B63" s="4" t="s">
        <v>177</v>
      </c>
      <c r="C63" s="4" t="s">
        <v>258</v>
      </c>
      <c r="D63" s="6" t="s">
        <v>18</v>
      </c>
      <c r="E63" s="4" t="s">
        <v>87</v>
      </c>
      <c r="F63" s="3" t="s">
        <v>259</v>
      </c>
      <c r="G63" s="4"/>
      <c r="H63" s="4" t="s">
        <v>260</v>
      </c>
      <c r="I63" s="27" t="s">
        <v>41</v>
      </c>
    </row>
    <row r="64" spans="1:9" ht="32.4" customHeight="1" x14ac:dyDescent="0.3">
      <c r="A64" s="3" t="s">
        <v>261</v>
      </c>
      <c r="B64" s="4" t="s">
        <v>262</v>
      </c>
      <c r="C64" s="4" t="s">
        <v>263</v>
      </c>
      <c r="D64" s="5" t="s">
        <v>18</v>
      </c>
      <c r="E64" s="4" t="s">
        <v>264</v>
      </c>
      <c r="F64" s="3" t="s">
        <v>265</v>
      </c>
      <c r="G64" s="4"/>
      <c r="H64" s="4" t="s">
        <v>266</v>
      </c>
      <c r="I64" s="27" t="s">
        <v>41</v>
      </c>
    </row>
    <row r="65" spans="1:9" ht="32.4" customHeight="1" x14ac:dyDescent="0.3">
      <c r="A65" s="3" t="s">
        <v>267</v>
      </c>
      <c r="B65" s="4" t="s">
        <v>262</v>
      </c>
      <c r="C65" s="4" t="s">
        <v>268</v>
      </c>
      <c r="D65" s="5" t="s">
        <v>18</v>
      </c>
      <c r="E65" s="4" t="s">
        <v>264</v>
      </c>
      <c r="F65" s="3" t="s">
        <v>269</v>
      </c>
      <c r="G65" s="4"/>
      <c r="H65" s="4" t="s">
        <v>270</v>
      </c>
      <c r="I65" s="27" t="s">
        <v>41</v>
      </c>
    </row>
    <row r="66" spans="1:9" ht="48.6" customHeight="1" x14ac:dyDescent="0.3">
      <c r="A66" s="3" t="s">
        <v>271</v>
      </c>
      <c r="B66" s="4" t="s">
        <v>262</v>
      </c>
      <c r="C66" s="4" t="s">
        <v>272</v>
      </c>
      <c r="D66" s="8" t="s">
        <v>20</v>
      </c>
      <c r="E66" s="4" t="s">
        <v>273</v>
      </c>
      <c r="F66" s="3" t="s">
        <v>274</v>
      </c>
      <c r="G66" s="4"/>
      <c r="H66" s="4" t="s">
        <v>275</v>
      </c>
      <c r="I66" s="27" t="s">
        <v>41</v>
      </c>
    </row>
    <row r="67" spans="1:9" ht="32.4" customHeight="1" x14ac:dyDescent="0.3">
      <c r="A67" s="3" t="s">
        <v>276</v>
      </c>
      <c r="B67" s="4" t="s">
        <v>262</v>
      </c>
      <c r="C67" s="4" t="s">
        <v>277</v>
      </c>
      <c r="D67" s="5" t="s">
        <v>14</v>
      </c>
      <c r="E67" s="4" t="s">
        <v>278</v>
      </c>
      <c r="F67" s="3" t="s">
        <v>279</v>
      </c>
      <c r="G67" s="4"/>
      <c r="H67" s="4" t="s">
        <v>280</v>
      </c>
      <c r="I67" s="26" t="s">
        <v>38</v>
      </c>
    </row>
    <row r="68" spans="1:9" ht="32.4" customHeight="1" x14ac:dyDescent="0.3">
      <c r="A68" s="3" t="s">
        <v>281</v>
      </c>
      <c r="B68" s="4" t="s">
        <v>262</v>
      </c>
      <c r="C68" s="4" t="s">
        <v>282</v>
      </c>
      <c r="D68" s="5" t="s">
        <v>14</v>
      </c>
      <c r="E68" s="4" t="s">
        <v>278</v>
      </c>
      <c r="F68" s="3" t="s">
        <v>279</v>
      </c>
      <c r="G68" s="4"/>
      <c r="H68" s="4" t="s">
        <v>280</v>
      </c>
      <c r="I68" s="26" t="s">
        <v>38</v>
      </c>
    </row>
    <row r="69" spans="1:9" ht="32.4" customHeight="1" x14ac:dyDescent="0.3">
      <c r="A69" s="3" t="s">
        <v>283</v>
      </c>
      <c r="B69" s="4" t="s">
        <v>262</v>
      </c>
      <c r="C69" s="4" t="s">
        <v>284</v>
      </c>
      <c r="D69" s="5" t="s">
        <v>14</v>
      </c>
      <c r="E69" s="4" t="s">
        <v>285</v>
      </c>
      <c r="F69" s="3" t="s">
        <v>279</v>
      </c>
      <c r="G69" s="4"/>
      <c r="H69" s="4"/>
      <c r="I69" s="26" t="s">
        <v>38</v>
      </c>
    </row>
    <row r="70" spans="1:9" ht="32.4" customHeight="1" x14ac:dyDescent="0.3">
      <c r="A70" s="3" t="s">
        <v>286</v>
      </c>
      <c r="B70" s="4" t="s">
        <v>262</v>
      </c>
      <c r="C70" s="4" t="s">
        <v>287</v>
      </c>
      <c r="D70" s="5" t="s">
        <v>14</v>
      </c>
      <c r="E70" s="4" t="s">
        <v>288</v>
      </c>
      <c r="F70" s="3" t="s">
        <v>289</v>
      </c>
      <c r="G70" s="4"/>
      <c r="H70" s="4"/>
      <c r="I70" s="26" t="s">
        <v>38</v>
      </c>
    </row>
    <row r="71" spans="1:9" ht="48.6" customHeight="1" x14ac:dyDescent="0.3">
      <c r="A71" s="3" t="s">
        <v>290</v>
      </c>
      <c r="B71" s="4" t="s">
        <v>262</v>
      </c>
      <c r="C71" s="4" t="s">
        <v>291</v>
      </c>
      <c r="D71" s="6" t="s">
        <v>18</v>
      </c>
      <c r="E71" s="4" t="s">
        <v>292</v>
      </c>
      <c r="F71" s="3" t="s">
        <v>293</v>
      </c>
      <c r="G71" s="4"/>
      <c r="H71" s="4"/>
      <c r="I71" s="27" t="s">
        <v>41</v>
      </c>
    </row>
    <row r="72" spans="1:9" ht="32.4" customHeight="1" x14ac:dyDescent="0.3">
      <c r="A72" s="3" t="s">
        <v>294</v>
      </c>
      <c r="B72" s="4" t="s">
        <v>262</v>
      </c>
      <c r="C72" s="4" t="s">
        <v>295</v>
      </c>
      <c r="D72" s="6" t="s">
        <v>18</v>
      </c>
      <c r="E72" s="4" t="s">
        <v>296</v>
      </c>
      <c r="F72" s="3" t="s">
        <v>297</v>
      </c>
      <c r="G72" s="4"/>
      <c r="H72" s="4"/>
      <c r="I72" s="27" t="s">
        <v>41</v>
      </c>
    </row>
    <row r="73" spans="1:9" ht="32.4" customHeight="1" x14ac:dyDescent="0.3">
      <c r="A73" s="3" t="s">
        <v>298</v>
      </c>
      <c r="B73" s="4" t="s">
        <v>262</v>
      </c>
      <c r="C73" s="4" t="s">
        <v>299</v>
      </c>
      <c r="D73" s="6" t="s">
        <v>18</v>
      </c>
      <c r="E73" s="4" t="s">
        <v>300</v>
      </c>
      <c r="F73" s="3" t="s">
        <v>301</v>
      </c>
      <c r="G73" s="4"/>
      <c r="H73" s="4"/>
      <c r="I73" s="27" t="s">
        <v>41</v>
      </c>
    </row>
    <row r="74" spans="1:9" ht="32.4" customHeight="1" x14ac:dyDescent="0.3">
      <c r="A74" s="3" t="s">
        <v>302</v>
      </c>
      <c r="B74" s="4" t="s">
        <v>262</v>
      </c>
      <c r="C74" s="4" t="s">
        <v>303</v>
      </c>
      <c r="D74" s="5" t="s">
        <v>14</v>
      </c>
      <c r="E74" s="4" t="s">
        <v>278</v>
      </c>
      <c r="F74" s="3" t="s">
        <v>304</v>
      </c>
      <c r="G74" s="4"/>
      <c r="H74" s="4"/>
      <c r="I74" s="26" t="s">
        <v>38</v>
      </c>
    </row>
    <row r="75" spans="1:9" ht="32.4" customHeight="1" x14ac:dyDescent="0.3">
      <c r="A75" s="3" t="s">
        <v>305</v>
      </c>
      <c r="B75" s="4" t="s">
        <v>262</v>
      </c>
      <c r="C75" s="4" t="s">
        <v>306</v>
      </c>
      <c r="D75" s="6" t="s">
        <v>18</v>
      </c>
      <c r="E75" s="4" t="s">
        <v>56</v>
      </c>
      <c r="F75" s="3" t="s">
        <v>307</v>
      </c>
      <c r="G75" s="4"/>
      <c r="H75" s="4"/>
      <c r="I75" s="27" t="s">
        <v>41</v>
      </c>
    </row>
    <row r="76" spans="1:9" ht="32.4" customHeight="1" x14ac:dyDescent="0.3">
      <c r="A76" s="3" t="s">
        <v>308</v>
      </c>
      <c r="B76" s="4" t="s">
        <v>262</v>
      </c>
      <c r="C76" s="4" t="s">
        <v>309</v>
      </c>
      <c r="D76" s="6" t="s">
        <v>18</v>
      </c>
      <c r="E76" s="4" t="s">
        <v>310</v>
      </c>
      <c r="F76" s="3" t="s">
        <v>307</v>
      </c>
      <c r="G76" s="4"/>
      <c r="H76" s="4"/>
      <c r="I76" s="27" t="s">
        <v>41</v>
      </c>
    </row>
    <row r="77" spans="1:9" ht="32.4" customHeight="1" x14ac:dyDescent="0.3">
      <c r="A77" s="3" t="s">
        <v>311</v>
      </c>
      <c r="B77" s="4" t="s">
        <v>262</v>
      </c>
      <c r="C77" s="4" t="s">
        <v>312</v>
      </c>
      <c r="D77" s="8" t="s">
        <v>20</v>
      </c>
      <c r="E77" s="4" t="s">
        <v>56</v>
      </c>
      <c r="F77" s="3" t="s">
        <v>307</v>
      </c>
      <c r="G77" s="4"/>
      <c r="H77" s="4"/>
      <c r="I77" s="27" t="s">
        <v>41</v>
      </c>
    </row>
    <row r="78" spans="1:9" ht="32.4" customHeight="1" x14ac:dyDescent="0.3">
      <c r="A78" s="3" t="s">
        <v>313</v>
      </c>
      <c r="B78" s="4" t="s">
        <v>262</v>
      </c>
      <c r="C78" s="4" t="s">
        <v>314</v>
      </c>
      <c r="D78" s="5" t="s">
        <v>14</v>
      </c>
      <c r="E78" s="4" t="s">
        <v>315</v>
      </c>
      <c r="F78" s="3" t="s">
        <v>316</v>
      </c>
      <c r="G78" s="4"/>
      <c r="H78" s="4"/>
      <c r="I78" s="26" t="s">
        <v>38</v>
      </c>
    </row>
    <row r="79" spans="1:9" ht="32.4" customHeight="1" x14ac:dyDescent="0.3">
      <c r="A79" s="3" t="s">
        <v>317</v>
      </c>
      <c r="B79" s="4" t="s">
        <v>262</v>
      </c>
      <c r="C79" s="4" t="s">
        <v>318</v>
      </c>
      <c r="D79" s="6" t="s">
        <v>18</v>
      </c>
      <c r="E79" s="4" t="s">
        <v>300</v>
      </c>
      <c r="F79" s="3" t="s">
        <v>319</v>
      </c>
      <c r="G79" s="4"/>
      <c r="H79" s="4"/>
      <c r="I79" s="27" t="s">
        <v>41</v>
      </c>
    </row>
    <row r="80" spans="1:9" ht="32.4" customHeight="1" x14ac:dyDescent="0.3">
      <c r="A80" s="3" t="s">
        <v>320</v>
      </c>
      <c r="B80" s="4" t="s">
        <v>262</v>
      </c>
      <c r="C80" s="4" t="s">
        <v>321</v>
      </c>
      <c r="D80" s="6" t="s">
        <v>18</v>
      </c>
      <c r="E80" s="4" t="s">
        <v>300</v>
      </c>
      <c r="F80" s="3" t="s">
        <v>319</v>
      </c>
      <c r="G80" s="4"/>
      <c r="H80" s="4"/>
      <c r="I80" s="27" t="s">
        <v>41</v>
      </c>
    </row>
    <row r="81" spans="1:9" ht="48.6" customHeight="1" x14ac:dyDescent="0.3">
      <c r="A81" s="3" t="s">
        <v>322</v>
      </c>
      <c r="B81" s="4" t="s">
        <v>323</v>
      </c>
      <c r="C81" s="4" t="s">
        <v>324</v>
      </c>
      <c r="D81" s="6" t="s">
        <v>18</v>
      </c>
      <c r="E81" s="4" t="s">
        <v>325</v>
      </c>
      <c r="F81" s="3" t="s">
        <v>326</v>
      </c>
      <c r="G81" s="4"/>
      <c r="H81" s="4"/>
      <c r="I81" s="27" t="s">
        <v>41</v>
      </c>
    </row>
    <row r="82" spans="1:9" ht="32.4" customHeight="1" x14ac:dyDescent="0.3">
      <c r="A82" s="3" t="s">
        <v>327</v>
      </c>
      <c r="B82" s="4" t="s">
        <v>323</v>
      </c>
      <c r="C82" s="4" t="s">
        <v>328</v>
      </c>
      <c r="D82" s="6" t="s">
        <v>18</v>
      </c>
      <c r="E82" s="4" t="s">
        <v>329</v>
      </c>
      <c r="F82" s="3" t="s">
        <v>330</v>
      </c>
      <c r="G82" s="4"/>
      <c r="H82" s="4"/>
      <c r="I82" s="27" t="s">
        <v>41</v>
      </c>
    </row>
    <row r="83" spans="1:9" ht="48.6" customHeight="1" x14ac:dyDescent="0.3">
      <c r="A83" s="3" t="s">
        <v>331</v>
      </c>
      <c r="B83" s="4" t="s">
        <v>323</v>
      </c>
      <c r="C83" s="4" t="s">
        <v>332</v>
      </c>
      <c r="D83" s="5" t="s">
        <v>14</v>
      </c>
      <c r="E83" s="4" t="s">
        <v>333</v>
      </c>
      <c r="F83" s="3" t="s">
        <v>334</v>
      </c>
      <c r="G83" s="4"/>
      <c r="H83" s="4" t="s">
        <v>335</v>
      </c>
      <c r="I83" s="26" t="s">
        <v>38</v>
      </c>
    </row>
    <row r="84" spans="1:9" ht="48.6" customHeight="1" x14ac:dyDescent="0.3">
      <c r="A84" s="3" t="s">
        <v>336</v>
      </c>
      <c r="B84" s="4" t="s">
        <v>323</v>
      </c>
      <c r="C84" s="4" t="s">
        <v>337</v>
      </c>
      <c r="D84" s="7" t="s">
        <v>20</v>
      </c>
      <c r="E84" s="4" t="s">
        <v>338</v>
      </c>
      <c r="F84" s="3" t="s">
        <v>339</v>
      </c>
      <c r="G84" s="4"/>
      <c r="H84" s="4" t="s">
        <v>340</v>
      </c>
      <c r="I84" s="27" t="s">
        <v>41</v>
      </c>
    </row>
    <row r="85" spans="1:9" ht="48.6" customHeight="1" x14ac:dyDescent="0.3">
      <c r="A85" s="3" t="s">
        <v>341</v>
      </c>
      <c r="B85" s="4" t="s">
        <v>323</v>
      </c>
      <c r="C85" s="4" t="s">
        <v>342</v>
      </c>
      <c r="D85" s="6" t="s">
        <v>18</v>
      </c>
      <c r="E85" s="4" t="s">
        <v>343</v>
      </c>
      <c r="F85" s="3" t="s">
        <v>344</v>
      </c>
      <c r="G85" s="4"/>
      <c r="H85" s="4"/>
      <c r="I85" s="27" t="s">
        <v>41</v>
      </c>
    </row>
    <row r="86" spans="1:9" ht="48.6" customHeight="1" x14ac:dyDescent="0.3">
      <c r="A86" s="3" t="s">
        <v>345</v>
      </c>
      <c r="B86" s="4" t="s">
        <v>323</v>
      </c>
      <c r="C86" s="4" t="s">
        <v>346</v>
      </c>
      <c r="D86" s="6" t="s">
        <v>18</v>
      </c>
      <c r="E86" s="4" t="s">
        <v>347</v>
      </c>
      <c r="F86" s="3" t="s">
        <v>348</v>
      </c>
      <c r="G86" s="4"/>
      <c r="H86" s="4" t="s">
        <v>349</v>
      </c>
      <c r="I86" s="27" t="s">
        <v>41</v>
      </c>
    </row>
    <row r="87" spans="1:9" ht="47.4" customHeight="1" x14ac:dyDescent="0.3">
      <c r="A87" s="3" t="s">
        <v>350</v>
      </c>
      <c r="B87" s="4" t="s">
        <v>323</v>
      </c>
      <c r="C87" s="4" t="s">
        <v>351</v>
      </c>
      <c r="D87" s="6" t="s">
        <v>18</v>
      </c>
      <c r="E87" s="4" t="s">
        <v>352</v>
      </c>
      <c r="F87" s="3" t="s">
        <v>353</v>
      </c>
      <c r="G87" s="4"/>
      <c r="H87" s="4" t="s">
        <v>354</v>
      </c>
      <c r="I87" s="27" t="s">
        <v>41</v>
      </c>
    </row>
    <row r="88" spans="1:9" ht="48.6" customHeight="1" x14ac:dyDescent="0.3">
      <c r="A88" s="3" t="s">
        <v>355</v>
      </c>
      <c r="B88" s="4" t="s">
        <v>323</v>
      </c>
      <c r="C88" s="4" t="s">
        <v>356</v>
      </c>
      <c r="D88" s="7" t="s">
        <v>18</v>
      </c>
      <c r="E88" s="4" t="s">
        <v>357</v>
      </c>
      <c r="F88" s="3" t="s">
        <v>358</v>
      </c>
      <c r="G88" s="4"/>
      <c r="H88" s="4" t="s">
        <v>359</v>
      </c>
      <c r="I88" s="27" t="s">
        <v>41</v>
      </c>
    </row>
    <row r="89" spans="1:9" ht="32.4" customHeight="1" x14ac:dyDescent="0.3">
      <c r="A89" s="3" t="s">
        <v>360</v>
      </c>
      <c r="B89" s="4" t="s">
        <v>323</v>
      </c>
      <c r="C89" s="4" t="s">
        <v>361</v>
      </c>
      <c r="D89" s="6" t="s">
        <v>18</v>
      </c>
      <c r="E89" s="4" t="s">
        <v>362</v>
      </c>
      <c r="F89" s="3" t="s">
        <v>363</v>
      </c>
      <c r="G89" s="4"/>
      <c r="H89" s="4"/>
      <c r="I89" s="27" t="s">
        <v>41</v>
      </c>
    </row>
    <row r="90" spans="1:9" ht="48.6" customHeight="1" x14ac:dyDescent="0.3">
      <c r="A90" s="3" t="s">
        <v>364</v>
      </c>
      <c r="B90" s="4" t="s">
        <v>323</v>
      </c>
      <c r="C90" s="4" t="s">
        <v>365</v>
      </c>
      <c r="D90" s="7" t="s">
        <v>16</v>
      </c>
      <c r="E90" s="4" t="s">
        <v>44</v>
      </c>
      <c r="F90" s="3" t="s">
        <v>45</v>
      </c>
      <c r="G90" s="4"/>
      <c r="H90" s="4"/>
      <c r="I90" s="28" t="s">
        <v>46</v>
      </c>
    </row>
    <row r="91" spans="1:9" ht="32.4" customHeight="1" x14ac:dyDescent="0.3">
      <c r="A91" s="3" t="s">
        <v>366</v>
      </c>
      <c r="B91" s="4" t="s">
        <v>323</v>
      </c>
      <c r="C91" s="4" t="s">
        <v>367</v>
      </c>
      <c r="D91" s="5" t="s">
        <v>14</v>
      </c>
      <c r="E91" s="4" t="s">
        <v>368</v>
      </c>
      <c r="F91" s="3" t="s">
        <v>353</v>
      </c>
      <c r="G91" s="4"/>
      <c r="H91" s="4"/>
      <c r="I91" s="26" t="s">
        <v>38</v>
      </c>
    </row>
    <row r="92" spans="1:9" ht="32.4" customHeight="1" x14ac:dyDescent="0.3">
      <c r="A92" s="3" t="s">
        <v>369</v>
      </c>
      <c r="B92" s="4" t="s">
        <v>323</v>
      </c>
      <c r="C92" s="4" t="s">
        <v>370</v>
      </c>
      <c r="D92" s="5" t="s">
        <v>18</v>
      </c>
      <c r="E92" s="4" t="s">
        <v>56</v>
      </c>
      <c r="F92" s="3" t="s">
        <v>371</v>
      </c>
      <c r="G92" s="4"/>
      <c r="H92" s="4"/>
      <c r="I92" s="27" t="s">
        <v>41</v>
      </c>
    </row>
    <row r="93" spans="1:9" ht="32.4" customHeight="1" x14ac:dyDescent="0.3">
      <c r="A93" s="3" t="s">
        <v>372</v>
      </c>
      <c r="B93" s="4" t="s">
        <v>323</v>
      </c>
      <c r="C93" s="4" t="s">
        <v>373</v>
      </c>
      <c r="D93" s="6" t="s">
        <v>18</v>
      </c>
      <c r="E93" s="4" t="s">
        <v>374</v>
      </c>
      <c r="F93" s="3" t="s">
        <v>375</v>
      </c>
      <c r="G93" s="4"/>
      <c r="H93" s="4"/>
      <c r="I93" s="27" t="s">
        <v>41</v>
      </c>
    </row>
    <row r="94" spans="1:9" ht="48.6" customHeight="1" x14ac:dyDescent="0.3">
      <c r="A94" s="3" t="s">
        <v>376</v>
      </c>
      <c r="B94" s="4" t="s">
        <v>323</v>
      </c>
      <c r="C94" s="4" t="s">
        <v>377</v>
      </c>
      <c r="D94" s="5" t="s">
        <v>14</v>
      </c>
      <c r="E94" s="4" t="s">
        <v>343</v>
      </c>
      <c r="F94" s="3" t="s">
        <v>378</v>
      </c>
      <c r="G94" s="4"/>
      <c r="H94" s="4"/>
      <c r="I94" s="26" t="s">
        <v>38</v>
      </c>
    </row>
    <row r="95" spans="1:9" ht="48.6" customHeight="1" x14ac:dyDescent="0.3">
      <c r="A95" s="3" t="s">
        <v>379</v>
      </c>
      <c r="B95" s="4" t="s">
        <v>323</v>
      </c>
      <c r="C95" s="4" t="s">
        <v>380</v>
      </c>
      <c r="D95" s="6" t="s">
        <v>16</v>
      </c>
      <c r="E95" s="4" t="s">
        <v>381</v>
      </c>
      <c r="F95" s="3" t="s">
        <v>382</v>
      </c>
      <c r="G95" s="4"/>
      <c r="H95" s="4" t="s">
        <v>383</v>
      </c>
      <c r="I95" s="27" t="s">
        <v>41</v>
      </c>
    </row>
    <row r="96" spans="1:9" ht="81" customHeight="1" x14ac:dyDescent="0.3">
      <c r="A96" s="3" t="s">
        <v>384</v>
      </c>
      <c r="B96" s="4" t="s">
        <v>177</v>
      </c>
      <c r="C96" s="4" t="s">
        <v>385</v>
      </c>
      <c r="D96" s="6" t="s">
        <v>14</v>
      </c>
      <c r="E96" s="4" t="s">
        <v>194</v>
      </c>
      <c r="F96" s="3" t="s">
        <v>386</v>
      </c>
      <c r="G96" s="4"/>
      <c r="H96" s="4"/>
      <c r="I96" s="26" t="s">
        <v>38</v>
      </c>
    </row>
    <row r="97" spans="1:9" ht="48.6" customHeight="1" x14ac:dyDescent="0.3">
      <c r="A97" s="3" t="s">
        <v>387</v>
      </c>
      <c r="B97" s="4" t="s">
        <v>388</v>
      </c>
      <c r="C97" s="4" t="s">
        <v>389</v>
      </c>
      <c r="D97" s="6" t="s">
        <v>18</v>
      </c>
      <c r="E97" s="4" t="s">
        <v>390</v>
      </c>
      <c r="F97" s="3" t="s">
        <v>57</v>
      </c>
      <c r="G97" s="4"/>
      <c r="H97" s="4"/>
      <c r="I97" s="27" t="s">
        <v>41</v>
      </c>
    </row>
    <row r="98" spans="1:9" ht="48.6" customHeight="1" x14ac:dyDescent="0.3">
      <c r="A98" s="3" t="s">
        <v>391</v>
      </c>
      <c r="B98" s="4" t="s">
        <v>388</v>
      </c>
      <c r="C98" s="4" t="s">
        <v>392</v>
      </c>
      <c r="D98" s="6" t="s">
        <v>18</v>
      </c>
      <c r="E98" s="4" t="s">
        <v>56</v>
      </c>
      <c r="F98" s="3" t="s">
        <v>57</v>
      </c>
      <c r="G98" s="4"/>
      <c r="H98" s="4" t="s">
        <v>393</v>
      </c>
      <c r="I98" s="27" t="s">
        <v>41</v>
      </c>
    </row>
    <row r="99" spans="1:9" ht="32.4" customHeight="1" x14ac:dyDescent="0.3">
      <c r="A99" s="3" t="s">
        <v>394</v>
      </c>
      <c r="B99" s="4" t="s">
        <v>388</v>
      </c>
      <c r="C99" s="4" t="s">
        <v>395</v>
      </c>
      <c r="D99" s="5" t="s">
        <v>14</v>
      </c>
      <c r="E99" s="4" t="s">
        <v>56</v>
      </c>
      <c r="F99" s="3" t="s">
        <v>57</v>
      </c>
      <c r="G99" s="4"/>
      <c r="H99" s="4" t="s">
        <v>396</v>
      </c>
      <c r="I99" s="26" t="s">
        <v>38</v>
      </c>
    </row>
    <row r="100" spans="1:9" ht="32.4" customHeight="1" x14ac:dyDescent="0.3">
      <c r="A100" s="3" t="s">
        <v>397</v>
      </c>
      <c r="B100" s="4" t="s">
        <v>388</v>
      </c>
      <c r="C100" s="4" t="s">
        <v>398</v>
      </c>
      <c r="D100" s="5" t="s">
        <v>14</v>
      </c>
      <c r="E100" s="4" t="s">
        <v>399</v>
      </c>
      <c r="F100" s="3" t="s">
        <v>400</v>
      </c>
      <c r="G100" s="4"/>
      <c r="H100" s="4"/>
      <c r="I100" s="26" t="s">
        <v>38</v>
      </c>
    </row>
    <row r="101" spans="1:9" ht="30.6" customHeight="1" x14ac:dyDescent="0.3">
      <c r="A101" s="3" t="s">
        <v>401</v>
      </c>
      <c r="B101" s="4" t="s">
        <v>388</v>
      </c>
      <c r="C101" s="4" t="s">
        <v>402</v>
      </c>
      <c r="D101" s="5" t="s">
        <v>14</v>
      </c>
      <c r="E101" s="4" t="s">
        <v>150</v>
      </c>
      <c r="F101" s="3" t="s">
        <v>164</v>
      </c>
      <c r="G101" s="4"/>
      <c r="H101" s="4" t="s">
        <v>403</v>
      </c>
      <c r="I101" s="26" t="s">
        <v>38</v>
      </c>
    </row>
    <row r="102" spans="1:9" ht="48.6" customHeight="1" x14ac:dyDescent="0.3">
      <c r="A102" s="3" t="s">
        <v>404</v>
      </c>
      <c r="B102" s="4" t="s">
        <v>388</v>
      </c>
      <c r="C102" s="4" t="s">
        <v>405</v>
      </c>
      <c r="D102" s="5" t="s">
        <v>18</v>
      </c>
      <c r="E102" s="4" t="s">
        <v>406</v>
      </c>
      <c r="F102" s="3" t="s">
        <v>164</v>
      </c>
      <c r="G102" s="4"/>
      <c r="H102" s="4" t="s">
        <v>407</v>
      </c>
      <c r="I102" s="27" t="s">
        <v>41</v>
      </c>
    </row>
    <row r="103" spans="1:9" ht="64.95" customHeight="1" x14ac:dyDescent="0.3">
      <c r="A103" s="3" t="s">
        <v>408</v>
      </c>
      <c r="B103" s="4" t="s">
        <v>388</v>
      </c>
      <c r="C103" s="4" t="s">
        <v>409</v>
      </c>
      <c r="D103" s="6" t="s">
        <v>18</v>
      </c>
      <c r="E103" s="4" t="s">
        <v>410</v>
      </c>
      <c r="F103" s="3" t="s">
        <v>411</v>
      </c>
      <c r="G103" s="4"/>
      <c r="H103" s="4" t="s">
        <v>412</v>
      </c>
      <c r="I103" s="27" t="s">
        <v>41</v>
      </c>
    </row>
    <row r="104" spans="1:9" ht="81" customHeight="1" x14ac:dyDescent="0.3">
      <c r="A104" s="3" t="s">
        <v>413</v>
      </c>
      <c r="B104" s="4" t="s">
        <v>388</v>
      </c>
      <c r="C104" s="4" t="s">
        <v>414</v>
      </c>
      <c r="D104" s="8" t="s">
        <v>18</v>
      </c>
      <c r="E104" s="4" t="s">
        <v>415</v>
      </c>
      <c r="F104" s="3" t="s">
        <v>416</v>
      </c>
      <c r="G104" s="4"/>
      <c r="H104" s="4" t="s">
        <v>417</v>
      </c>
      <c r="I104" s="27" t="s">
        <v>41</v>
      </c>
    </row>
    <row r="105" spans="1:9" ht="48.6" customHeight="1" x14ac:dyDescent="0.3">
      <c r="A105" s="3" t="s">
        <v>418</v>
      </c>
      <c r="B105" s="4" t="s">
        <v>388</v>
      </c>
      <c r="C105" s="4" t="s">
        <v>419</v>
      </c>
      <c r="D105" s="8" t="s">
        <v>18</v>
      </c>
      <c r="E105" s="4" t="s">
        <v>56</v>
      </c>
      <c r="F105" s="3" t="s">
        <v>57</v>
      </c>
      <c r="G105" s="4"/>
      <c r="H105" s="4" t="s">
        <v>420</v>
      </c>
      <c r="I105" s="27" t="s">
        <v>41</v>
      </c>
    </row>
    <row r="106" spans="1:9" ht="32.4" customHeight="1" x14ac:dyDescent="0.3">
      <c r="A106" s="3" t="s">
        <v>421</v>
      </c>
      <c r="B106" s="4" t="s">
        <v>422</v>
      </c>
      <c r="C106" s="4" t="s">
        <v>423</v>
      </c>
      <c r="D106" s="9" t="s">
        <v>22</v>
      </c>
      <c r="E106" s="4" t="s">
        <v>300</v>
      </c>
      <c r="F106" s="3" t="s">
        <v>174</v>
      </c>
      <c r="G106" s="4"/>
      <c r="H106" s="4" t="s">
        <v>424</v>
      </c>
      <c r="I106" s="27" t="s">
        <v>41</v>
      </c>
    </row>
    <row r="107" spans="1:9" ht="32.4" customHeight="1" x14ac:dyDescent="0.3">
      <c r="A107" s="3" t="s">
        <v>425</v>
      </c>
      <c r="B107" s="4" t="s">
        <v>426</v>
      </c>
      <c r="C107" s="4" t="s">
        <v>427</v>
      </c>
      <c r="D107" s="5" t="s">
        <v>18</v>
      </c>
      <c r="E107" s="4" t="s">
        <v>428</v>
      </c>
      <c r="F107" s="3" t="s">
        <v>429</v>
      </c>
      <c r="G107" s="4"/>
      <c r="H107" s="4" t="s">
        <v>430</v>
      </c>
      <c r="I107" s="27" t="s">
        <v>41</v>
      </c>
    </row>
    <row r="108" spans="1:9" ht="48.6" customHeight="1" x14ac:dyDescent="0.3">
      <c r="A108" s="3" t="s">
        <v>431</v>
      </c>
      <c r="B108" s="4" t="s">
        <v>426</v>
      </c>
      <c r="C108" s="4" t="s">
        <v>432</v>
      </c>
      <c r="D108" s="6" t="s">
        <v>18</v>
      </c>
      <c r="E108" s="4" t="s">
        <v>428</v>
      </c>
      <c r="F108" s="3" t="s">
        <v>429</v>
      </c>
      <c r="G108" s="4"/>
      <c r="H108" s="4"/>
      <c r="I108" s="27" t="s">
        <v>41</v>
      </c>
    </row>
    <row r="109" spans="1:9" ht="32.4" customHeight="1" x14ac:dyDescent="0.3">
      <c r="A109" s="3" t="s">
        <v>433</v>
      </c>
      <c r="B109" s="4" t="s">
        <v>426</v>
      </c>
      <c r="C109" s="4" t="s">
        <v>434</v>
      </c>
      <c r="D109" s="5" t="s">
        <v>14</v>
      </c>
      <c r="E109" s="4" t="s">
        <v>435</v>
      </c>
      <c r="F109" s="3" t="s">
        <v>436</v>
      </c>
      <c r="G109" s="4"/>
      <c r="H109" s="4"/>
      <c r="I109" s="26" t="s">
        <v>38</v>
      </c>
    </row>
    <row r="110" spans="1:9" ht="40.200000000000003" customHeight="1" x14ac:dyDescent="0.3">
      <c r="A110" s="3" t="s">
        <v>437</v>
      </c>
      <c r="B110" s="4" t="s">
        <v>426</v>
      </c>
      <c r="C110" s="4" t="s">
        <v>438</v>
      </c>
      <c r="D110" s="6" t="s">
        <v>18</v>
      </c>
      <c r="E110" s="4" t="s">
        <v>439</v>
      </c>
      <c r="F110" s="3" t="s">
        <v>440</v>
      </c>
      <c r="G110" s="4"/>
      <c r="H110" s="4"/>
      <c r="I110" s="27" t="s">
        <v>41</v>
      </c>
    </row>
    <row r="111" spans="1:9" ht="32.4" customHeight="1" x14ac:dyDescent="0.3">
      <c r="A111" s="3" t="s">
        <v>441</v>
      </c>
      <c r="B111" s="4" t="s">
        <v>426</v>
      </c>
      <c r="C111" s="4" t="s">
        <v>442</v>
      </c>
      <c r="D111" s="6" t="s">
        <v>18</v>
      </c>
      <c r="E111" s="4" t="s">
        <v>439</v>
      </c>
      <c r="F111" s="3" t="s">
        <v>443</v>
      </c>
      <c r="G111" s="4"/>
      <c r="H111" s="4"/>
      <c r="I111" s="27" t="s">
        <v>41</v>
      </c>
    </row>
    <row r="112" spans="1:9" ht="64.95" customHeight="1" x14ac:dyDescent="0.3">
      <c r="A112" s="3" t="s">
        <v>444</v>
      </c>
      <c r="B112" s="4" t="s">
        <v>426</v>
      </c>
      <c r="C112" s="4" t="s">
        <v>445</v>
      </c>
      <c r="D112" s="7" t="s">
        <v>18</v>
      </c>
      <c r="E112" s="4" t="s">
        <v>446</v>
      </c>
      <c r="F112" s="3" t="s">
        <v>92</v>
      </c>
      <c r="G112" s="4"/>
      <c r="H112" s="4"/>
      <c r="I112" s="27" t="s">
        <v>41</v>
      </c>
    </row>
    <row r="113" spans="1:9" ht="32.4" customHeight="1" x14ac:dyDescent="0.3">
      <c r="A113" s="3" t="s">
        <v>447</v>
      </c>
      <c r="B113" s="4" t="s">
        <v>426</v>
      </c>
      <c r="C113" s="4" t="s">
        <v>448</v>
      </c>
      <c r="D113" s="5" t="s">
        <v>14</v>
      </c>
      <c r="E113" s="4" t="s">
        <v>449</v>
      </c>
      <c r="F113" s="3" t="s">
        <v>450</v>
      </c>
      <c r="G113" s="4"/>
      <c r="H113" s="4"/>
      <c r="I113" s="26" t="s">
        <v>38</v>
      </c>
    </row>
    <row r="114" spans="1:9" ht="48.6" customHeight="1" x14ac:dyDescent="0.3">
      <c r="A114" s="3" t="s">
        <v>451</v>
      </c>
      <c r="B114" s="4" t="s">
        <v>426</v>
      </c>
      <c r="C114" s="4" t="s">
        <v>452</v>
      </c>
      <c r="D114" s="6" t="s">
        <v>18</v>
      </c>
      <c r="E114" s="4" t="s">
        <v>453</v>
      </c>
      <c r="F114" s="3" t="s">
        <v>454</v>
      </c>
      <c r="G114" s="4"/>
      <c r="H114" s="4"/>
      <c r="I114" s="27" t="s">
        <v>41</v>
      </c>
    </row>
    <row r="115" spans="1:9" ht="24.6" customHeight="1" x14ac:dyDescent="0.3">
      <c r="A115" s="3" t="s">
        <v>455</v>
      </c>
      <c r="B115" s="4" t="s">
        <v>426</v>
      </c>
      <c r="C115" s="4" t="s">
        <v>456</v>
      </c>
      <c r="D115" s="5" t="s">
        <v>18</v>
      </c>
      <c r="E115" s="4" t="s">
        <v>457</v>
      </c>
      <c r="F115" s="3" t="s">
        <v>458</v>
      </c>
      <c r="G115" s="4"/>
      <c r="H115" s="4" t="s">
        <v>459</v>
      </c>
      <c r="I115" s="27" t="s">
        <v>41</v>
      </c>
    </row>
    <row r="116" spans="1:9" ht="32.4" customHeight="1" x14ac:dyDescent="0.3">
      <c r="A116" s="3" t="s">
        <v>460</v>
      </c>
      <c r="B116" s="4" t="s">
        <v>426</v>
      </c>
      <c r="C116" s="4" t="s">
        <v>461</v>
      </c>
      <c r="D116" s="5" t="s">
        <v>18</v>
      </c>
      <c r="E116" s="4" t="s">
        <v>189</v>
      </c>
      <c r="F116" s="3" t="s">
        <v>185</v>
      </c>
      <c r="G116" s="4"/>
      <c r="H116" s="4" t="s">
        <v>462</v>
      </c>
      <c r="I116" s="27" t="s">
        <v>41</v>
      </c>
    </row>
    <row r="117" spans="1:9" ht="32.4" customHeight="1" x14ac:dyDescent="0.3">
      <c r="A117" s="3" t="s">
        <v>463</v>
      </c>
      <c r="B117" s="4" t="s">
        <v>426</v>
      </c>
      <c r="C117" s="4" t="s">
        <v>464</v>
      </c>
      <c r="D117" s="6" t="s">
        <v>18</v>
      </c>
      <c r="E117" s="4" t="s">
        <v>465</v>
      </c>
      <c r="F117" s="3" t="s">
        <v>466</v>
      </c>
      <c r="G117" s="4"/>
      <c r="H117" s="4" t="s">
        <v>467</v>
      </c>
      <c r="I117" s="27" t="s">
        <v>41</v>
      </c>
    </row>
    <row r="118" spans="1:9" ht="48.6" customHeight="1" x14ac:dyDescent="0.3">
      <c r="A118" s="3" t="s">
        <v>468</v>
      </c>
      <c r="B118" s="4" t="s">
        <v>426</v>
      </c>
      <c r="C118" s="4" t="s">
        <v>469</v>
      </c>
      <c r="D118" s="7" t="s">
        <v>16</v>
      </c>
      <c r="E118" s="4" t="s">
        <v>453</v>
      </c>
      <c r="F118" s="3" t="s">
        <v>458</v>
      </c>
      <c r="G118" s="4"/>
      <c r="H118" s="4" t="s">
        <v>470</v>
      </c>
      <c r="I118" s="27" t="s">
        <v>41</v>
      </c>
    </row>
    <row r="119" spans="1:9" ht="48.6" customHeight="1" x14ac:dyDescent="0.3">
      <c r="A119" s="3" t="s">
        <v>471</v>
      </c>
      <c r="B119" s="4" t="s">
        <v>426</v>
      </c>
      <c r="C119" s="4" t="s">
        <v>472</v>
      </c>
      <c r="D119" s="7" t="s">
        <v>16</v>
      </c>
      <c r="E119" s="4" t="s">
        <v>453</v>
      </c>
      <c r="F119" s="3" t="s">
        <v>458</v>
      </c>
      <c r="G119" s="4"/>
      <c r="H119" s="4"/>
      <c r="I119" s="27" t="s">
        <v>41</v>
      </c>
    </row>
    <row r="120" spans="1:9" ht="32.4" customHeight="1" x14ac:dyDescent="0.3">
      <c r="A120" s="3" t="s">
        <v>473</v>
      </c>
      <c r="B120" s="4" t="s">
        <v>426</v>
      </c>
      <c r="C120" s="4" t="s">
        <v>474</v>
      </c>
      <c r="D120" s="5" t="s">
        <v>14</v>
      </c>
      <c r="E120" s="4" t="s">
        <v>475</v>
      </c>
      <c r="F120" s="3" t="s">
        <v>319</v>
      </c>
      <c r="G120" s="4"/>
      <c r="H120" s="4" t="s">
        <v>476</v>
      </c>
      <c r="I120" s="26" t="s">
        <v>38</v>
      </c>
    </row>
    <row r="121" spans="1:9" ht="32.4" customHeight="1" x14ac:dyDescent="0.3">
      <c r="A121" s="3" t="s">
        <v>477</v>
      </c>
      <c r="B121" s="4" t="s">
        <v>426</v>
      </c>
      <c r="C121" s="4" t="s">
        <v>478</v>
      </c>
      <c r="D121" s="6" t="s">
        <v>18</v>
      </c>
      <c r="E121" s="4" t="s">
        <v>479</v>
      </c>
      <c r="F121" s="3" t="s">
        <v>480</v>
      </c>
      <c r="G121" s="4"/>
      <c r="H121" s="4"/>
      <c r="I121" s="27" t="s">
        <v>41</v>
      </c>
    </row>
    <row r="122" spans="1:9" ht="48.6" customHeight="1" x14ac:dyDescent="0.3">
      <c r="A122" s="3" t="s">
        <v>481</v>
      </c>
      <c r="B122" s="4" t="s">
        <v>482</v>
      </c>
      <c r="C122" s="4" t="s">
        <v>483</v>
      </c>
      <c r="D122" s="3" t="s">
        <v>20</v>
      </c>
      <c r="E122" s="4" t="s">
        <v>264</v>
      </c>
      <c r="F122" s="3" t="s">
        <v>484</v>
      </c>
      <c r="G122" s="4"/>
      <c r="H122" s="4" t="s">
        <v>485</v>
      </c>
      <c r="I122" s="27" t="s">
        <v>41</v>
      </c>
    </row>
    <row r="123" spans="1:9" ht="48.6" customHeight="1" x14ac:dyDescent="0.3">
      <c r="A123" s="3" t="s">
        <v>486</v>
      </c>
      <c r="B123" s="4" t="s">
        <v>482</v>
      </c>
      <c r="C123" s="4" t="s">
        <v>487</v>
      </c>
      <c r="D123" s="8" t="s">
        <v>20</v>
      </c>
      <c r="E123" s="4" t="s">
        <v>488</v>
      </c>
      <c r="F123" s="3" t="s">
        <v>185</v>
      </c>
      <c r="G123" s="4"/>
      <c r="H123" s="4"/>
      <c r="I123" s="27" t="s">
        <v>41</v>
      </c>
    </row>
    <row r="124" spans="1:9" ht="48.6" customHeight="1" x14ac:dyDescent="0.3">
      <c r="A124" s="3" t="s">
        <v>489</v>
      </c>
      <c r="B124" s="4" t="s">
        <v>482</v>
      </c>
      <c r="C124" s="4" t="s">
        <v>490</v>
      </c>
      <c r="D124" s="7" t="s">
        <v>16</v>
      </c>
      <c r="E124" s="4" t="s">
        <v>264</v>
      </c>
      <c r="F124" s="3" t="s">
        <v>484</v>
      </c>
      <c r="G124" s="4"/>
      <c r="H124" s="4"/>
      <c r="I124" s="28" t="s">
        <v>46</v>
      </c>
    </row>
    <row r="125" spans="1:9" ht="48.6" customHeight="1" x14ac:dyDescent="0.3">
      <c r="A125" s="3" t="s">
        <v>491</v>
      </c>
      <c r="B125" s="4" t="s">
        <v>482</v>
      </c>
      <c r="C125" s="4" t="s">
        <v>492</v>
      </c>
      <c r="D125" s="3" t="s">
        <v>18</v>
      </c>
      <c r="E125" s="4" t="s">
        <v>194</v>
      </c>
      <c r="F125" s="3" t="s">
        <v>493</v>
      </c>
      <c r="G125" s="4"/>
      <c r="H125" s="4"/>
      <c r="I125" s="27" t="s">
        <v>41</v>
      </c>
    </row>
    <row r="126" spans="1:9" ht="32.4" customHeight="1" x14ac:dyDescent="0.3">
      <c r="A126" s="3" t="s">
        <v>494</v>
      </c>
      <c r="B126" s="4" t="s">
        <v>482</v>
      </c>
      <c r="C126" s="4" t="s">
        <v>495</v>
      </c>
      <c r="D126" s="5" t="s">
        <v>14</v>
      </c>
      <c r="E126" s="4" t="s">
        <v>496</v>
      </c>
      <c r="F126" s="3" t="s">
        <v>484</v>
      </c>
      <c r="G126" s="4"/>
      <c r="H126" s="4"/>
      <c r="I126" s="26" t="s">
        <v>38</v>
      </c>
    </row>
    <row r="127" spans="1:9" ht="32.4" customHeight="1" x14ac:dyDescent="0.3">
      <c r="A127" s="3" t="s">
        <v>497</v>
      </c>
      <c r="B127" s="4" t="s">
        <v>482</v>
      </c>
      <c r="C127" s="4" t="s">
        <v>498</v>
      </c>
      <c r="D127" s="6" t="s">
        <v>18</v>
      </c>
      <c r="E127" s="4" t="s">
        <v>499</v>
      </c>
      <c r="F127" s="3" t="s">
        <v>500</v>
      </c>
      <c r="G127" s="4"/>
      <c r="H127" s="4"/>
      <c r="I127" s="27" t="s">
        <v>41</v>
      </c>
    </row>
    <row r="128" spans="1:9" ht="48.6" customHeight="1" x14ac:dyDescent="0.3">
      <c r="A128" s="3" t="s">
        <v>501</v>
      </c>
      <c r="B128" s="4" t="s">
        <v>482</v>
      </c>
      <c r="C128" s="4" t="s">
        <v>502</v>
      </c>
      <c r="D128" s="3" t="s">
        <v>18</v>
      </c>
      <c r="E128" s="4" t="s">
        <v>503</v>
      </c>
      <c r="F128" s="3" t="s">
        <v>504</v>
      </c>
      <c r="G128" s="4"/>
      <c r="H128" s="4"/>
      <c r="I128" s="27" t="s">
        <v>41</v>
      </c>
    </row>
    <row r="129" spans="1:9" ht="48.6" customHeight="1" x14ac:dyDescent="0.3">
      <c r="A129" s="3" t="s">
        <v>505</v>
      </c>
      <c r="B129" s="4" t="s">
        <v>482</v>
      </c>
      <c r="C129" s="4" t="s">
        <v>506</v>
      </c>
      <c r="D129" s="8" t="s">
        <v>20</v>
      </c>
      <c r="E129" s="4" t="s">
        <v>507</v>
      </c>
      <c r="F129" s="3" t="s">
        <v>484</v>
      </c>
      <c r="G129" s="4"/>
      <c r="H129" s="4" t="s">
        <v>508</v>
      </c>
      <c r="I129" s="27" t="s">
        <v>41</v>
      </c>
    </row>
    <row r="130" spans="1:9" ht="48.6" customHeight="1" x14ac:dyDescent="0.3">
      <c r="A130" s="3" t="s">
        <v>509</v>
      </c>
      <c r="B130" s="4" t="s">
        <v>510</v>
      </c>
      <c r="C130" s="4" t="s">
        <v>511</v>
      </c>
      <c r="D130" s="7" t="s">
        <v>16</v>
      </c>
      <c r="E130" s="4" t="s">
        <v>512</v>
      </c>
      <c r="F130" s="3" t="s">
        <v>513</v>
      </c>
      <c r="G130" s="4"/>
      <c r="H130" s="4"/>
      <c r="I130" s="28" t="s">
        <v>46</v>
      </c>
    </row>
    <row r="131" spans="1:9" ht="32.4" customHeight="1" x14ac:dyDescent="0.3">
      <c r="A131" s="3" t="s">
        <v>514</v>
      </c>
      <c r="B131" s="4" t="s">
        <v>510</v>
      </c>
      <c r="C131" s="4" t="s">
        <v>515</v>
      </c>
      <c r="D131" s="5" t="s">
        <v>14</v>
      </c>
      <c r="E131" s="4" t="s">
        <v>516</v>
      </c>
      <c r="F131" s="3" t="s">
        <v>517</v>
      </c>
      <c r="G131" s="4"/>
      <c r="H131" s="4"/>
      <c r="I131" s="26" t="s">
        <v>38</v>
      </c>
    </row>
    <row r="132" spans="1:9" ht="48.6" customHeight="1" x14ac:dyDescent="0.3">
      <c r="A132" s="3" t="s">
        <v>518</v>
      </c>
      <c r="B132" s="4" t="s">
        <v>510</v>
      </c>
      <c r="C132" s="4" t="s">
        <v>519</v>
      </c>
      <c r="D132" s="6" t="s">
        <v>18</v>
      </c>
      <c r="E132" s="4" t="s">
        <v>516</v>
      </c>
      <c r="F132" s="3" t="s">
        <v>517</v>
      </c>
      <c r="G132" s="4"/>
      <c r="H132" s="4"/>
      <c r="I132" s="27" t="s">
        <v>41</v>
      </c>
    </row>
    <row r="133" spans="1:9" ht="48.6" customHeight="1" x14ac:dyDescent="0.3">
      <c r="A133" s="3" t="s">
        <v>520</v>
      </c>
      <c r="B133" s="4" t="s">
        <v>510</v>
      </c>
      <c r="C133" s="4" t="s">
        <v>521</v>
      </c>
      <c r="D133" s="3" t="s">
        <v>20</v>
      </c>
      <c r="E133" s="4" t="s">
        <v>522</v>
      </c>
      <c r="F133" s="3" t="s">
        <v>523</v>
      </c>
      <c r="G133" s="4"/>
      <c r="H133" s="4"/>
      <c r="I133" s="27" t="s">
        <v>41</v>
      </c>
    </row>
    <row r="134" spans="1:9" ht="32.4" customHeight="1" x14ac:dyDescent="0.3">
      <c r="A134" s="3" t="s">
        <v>524</v>
      </c>
      <c r="B134" s="4" t="s">
        <v>510</v>
      </c>
      <c r="C134" s="4" t="s">
        <v>525</v>
      </c>
      <c r="D134" s="6" t="s">
        <v>18</v>
      </c>
      <c r="E134" s="4" t="s">
        <v>526</v>
      </c>
      <c r="F134" s="3" t="s">
        <v>527</v>
      </c>
      <c r="G134" s="4"/>
      <c r="H134" s="4"/>
      <c r="I134" s="27" t="s">
        <v>41</v>
      </c>
    </row>
    <row r="135" spans="1:9" ht="32.4" customHeight="1" x14ac:dyDescent="0.3">
      <c r="A135" s="3" t="s">
        <v>528</v>
      </c>
      <c r="B135" s="4" t="s">
        <v>510</v>
      </c>
      <c r="C135" s="4" t="s">
        <v>529</v>
      </c>
      <c r="D135" s="5" t="s">
        <v>14</v>
      </c>
      <c r="E135" s="4" t="s">
        <v>530</v>
      </c>
      <c r="F135" s="3" t="s">
        <v>185</v>
      </c>
      <c r="G135" s="4"/>
      <c r="H135" s="4"/>
      <c r="I135" s="26" t="s">
        <v>38</v>
      </c>
    </row>
    <row r="136" spans="1:9" ht="48.6" customHeight="1" x14ac:dyDescent="0.3">
      <c r="A136" s="3" t="s">
        <v>531</v>
      </c>
      <c r="B136" s="4" t="s">
        <v>510</v>
      </c>
      <c r="C136" s="4" t="s">
        <v>532</v>
      </c>
      <c r="D136" s="5" t="s">
        <v>14</v>
      </c>
      <c r="E136" s="4" t="s">
        <v>533</v>
      </c>
      <c r="F136" s="3" t="s">
        <v>164</v>
      </c>
      <c r="G136" s="4"/>
      <c r="H136" s="4"/>
      <c r="I136" s="26" t="s">
        <v>38</v>
      </c>
    </row>
    <row r="137" spans="1:9" ht="48.6" customHeight="1" x14ac:dyDescent="0.3">
      <c r="A137" s="3" t="s">
        <v>534</v>
      </c>
      <c r="B137" s="4" t="s">
        <v>510</v>
      </c>
      <c r="C137" s="4" t="s">
        <v>535</v>
      </c>
      <c r="D137" s="6" t="s">
        <v>18</v>
      </c>
      <c r="E137" s="4" t="s">
        <v>150</v>
      </c>
      <c r="F137" s="3" t="s">
        <v>164</v>
      </c>
      <c r="G137" s="4"/>
      <c r="H137" s="4"/>
      <c r="I137" s="27" t="s">
        <v>41</v>
      </c>
    </row>
    <row r="138" spans="1:9" ht="81" customHeight="1" x14ac:dyDescent="0.3">
      <c r="A138" s="3" t="s">
        <v>536</v>
      </c>
      <c r="B138" s="4" t="s">
        <v>510</v>
      </c>
      <c r="C138" s="4" t="s">
        <v>537</v>
      </c>
      <c r="D138" s="6" t="s">
        <v>18</v>
      </c>
      <c r="E138" s="4" t="s">
        <v>538</v>
      </c>
      <c r="F138" s="3" t="s">
        <v>539</v>
      </c>
      <c r="G138" s="4"/>
      <c r="H138" s="4"/>
      <c r="I138" s="27" t="s">
        <v>41</v>
      </c>
    </row>
    <row r="139" spans="1:9" ht="32.4" customHeight="1" x14ac:dyDescent="0.3">
      <c r="A139" s="3" t="s">
        <v>540</v>
      </c>
      <c r="B139" s="4" t="s">
        <v>510</v>
      </c>
      <c r="C139" s="4" t="s">
        <v>541</v>
      </c>
      <c r="D139" s="6" t="s">
        <v>18</v>
      </c>
      <c r="E139" s="4" t="s">
        <v>542</v>
      </c>
      <c r="F139" s="3" t="s">
        <v>543</v>
      </c>
      <c r="G139" s="4"/>
      <c r="H139" s="4"/>
      <c r="I139" s="27" t="s">
        <v>41</v>
      </c>
    </row>
    <row r="140" spans="1:9" ht="32.4" customHeight="1" x14ac:dyDescent="0.3">
      <c r="A140" s="3" t="s">
        <v>544</v>
      </c>
      <c r="B140" s="4" t="s">
        <v>545</v>
      </c>
      <c r="C140" s="4" t="s">
        <v>546</v>
      </c>
      <c r="D140" s="5" t="s">
        <v>14</v>
      </c>
      <c r="E140" s="4" t="s">
        <v>547</v>
      </c>
      <c r="F140" s="3" t="s">
        <v>548</v>
      </c>
      <c r="G140" s="4"/>
      <c r="H140" s="4"/>
      <c r="I140" s="26" t="s">
        <v>38</v>
      </c>
    </row>
    <row r="141" spans="1:9" ht="32.4" customHeight="1" x14ac:dyDescent="0.3">
      <c r="A141" s="3" t="s">
        <v>549</v>
      </c>
      <c r="B141" s="4" t="s">
        <v>545</v>
      </c>
      <c r="C141" s="4" t="s">
        <v>550</v>
      </c>
      <c r="D141" s="5" t="s">
        <v>14</v>
      </c>
      <c r="E141" s="4" t="s">
        <v>551</v>
      </c>
      <c r="F141" s="3" t="s">
        <v>552</v>
      </c>
      <c r="G141" s="4"/>
      <c r="H141" s="4"/>
      <c r="I141" s="26" t="s">
        <v>38</v>
      </c>
    </row>
    <row r="142" spans="1:9" ht="32.4" customHeight="1" x14ac:dyDescent="0.3">
      <c r="A142" s="3" t="s">
        <v>553</v>
      </c>
      <c r="B142" s="4" t="s">
        <v>545</v>
      </c>
      <c r="C142" s="4" t="s">
        <v>554</v>
      </c>
      <c r="D142" s="6" t="s">
        <v>18</v>
      </c>
      <c r="E142" s="4" t="s">
        <v>555</v>
      </c>
      <c r="F142" s="3" t="s">
        <v>552</v>
      </c>
      <c r="G142" s="4"/>
      <c r="H142" s="4"/>
      <c r="I142" s="27" t="s">
        <v>41</v>
      </c>
    </row>
    <row r="143" spans="1:9" ht="48.6" customHeight="1" x14ac:dyDescent="0.3">
      <c r="A143" s="3" t="s">
        <v>556</v>
      </c>
      <c r="B143" s="4" t="s">
        <v>545</v>
      </c>
      <c r="C143" s="4" t="s">
        <v>557</v>
      </c>
      <c r="D143" s="3" t="s">
        <v>18</v>
      </c>
      <c r="E143" s="4" t="s">
        <v>558</v>
      </c>
      <c r="F143" s="3" t="s">
        <v>559</v>
      </c>
      <c r="G143" s="4"/>
      <c r="H143" s="4"/>
      <c r="I143" s="27" t="s">
        <v>41</v>
      </c>
    </row>
    <row r="144" spans="1:9" ht="32.4" customHeight="1" x14ac:dyDescent="0.3">
      <c r="A144" s="3" t="s">
        <v>560</v>
      </c>
      <c r="B144" s="4" t="s">
        <v>545</v>
      </c>
      <c r="C144" s="4" t="s">
        <v>561</v>
      </c>
      <c r="D144" s="8" t="s">
        <v>20</v>
      </c>
      <c r="E144" s="4" t="s">
        <v>562</v>
      </c>
      <c r="F144" s="3" t="s">
        <v>552</v>
      </c>
      <c r="G144" s="4"/>
      <c r="H144" s="4"/>
      <c r="I144" s="27" t="s">
        <v>41</v>
      </c>
    </row>
    <row r="145" spans="1:9" ht="48.6" customHeight="1" x14ac:dyDescent="0.3">
      <c r="A145" s="3" t="s">
        <v>563</v>
      </c>
      <c r="B145" s="4" t="s">
        <v>545</v>
      </c>
      <c r="C145" s="4" t="s">
        <v>564</v>
      </c>
      <c r="D145" s="7" t="s">
        <v>16</v>
      </c>
      <c r="E145" s="4" t="s">
        <v>565</v>
      </c>
      <c r="F145" s="3" t="s">
        <v>552</v>
      </c>
      <c r="G145" s="4"/>
      <c r="H145" s="4"/>
      <c r="I145" s="28" t="s">
        <v>46</v>
      </c>
    </row>
    <row r="146" spans="1:9" ht="32.4" customHeight="1" x14ac:dyDescent="0.3">
      <c r="A146" s="3" t="s">
        <v>566</v>
      </c>
      <c r="B146" s="4" t="s">
        <v>545</v>
      </c>
      <c r="C146" s="4" t="s">
        <v>567</v>
      </c>
      <c r="D146" s="6" t="s">
        <v>18</v>
      </c>
      <c r="E146" s="4" t="s">
        <v>568</v>
      </c>
      <c r="F146" s="3" t="s">
        <v>569</v>
      </c>
      <c r="G146" s="4"/>
      <c r="H146" s="4"/>
      <c r="I146" s="27" t="s">
        <v>41</v>
      </c>
    </row>
    <row r="147" spans="1:9" ht="48.6" customHeight="1" x14ac:dyDescent="0.3">
      <c r="A147" s="3" t="s">
        <v>570</v>
      </c>
      <c r="B147" s="4" t="s">
        <v>545</v>
      </c>
      <c r="C147" s="4" t="s">
        <v>571</v>
      </c>
      <c r="D147" s="3" t="s">
        <v>18</v>
      </c>
      <c r="E147" s="4" t="s">
        <v>572</v>
      </c>
      <c r="F147" s="3" t="s">
        <v>573</v>
      </c>
      <c r="G147" s="4"/>
      <c r="H147" s="4"/>
      <c r="I147" s="27" t="s">
        <v>41</v>
      </c>
    </row>
    <row r="148" spans="1:9" ht="48.6" customHeight="1" x14ac:dyDescent="0.3">
      <c r="A148" s="3" t="s">
        <v>574</v>
      </c>
      <c r="B148" s="4" t="s">
        <v>575</v>
      </c>
      <c r="C148" s="4" t="s">
        <v>576</v>
      </c>
      <c r="D148" s="6" t="s">
        <v>18</v>
      </c>
      <c r="E148" s="4" t="s">
        <v>577</v>
      </c>
      <c r="F148" s="3" t="s">
        <v>578</v>
      </c>
      <c r="G148" s="4"/>
      <c r="H148" s="4"/>
      <c r="I148" s="27" t="s">
        <v>41</v>
      </c>
    </row>
    <row r="149" spans="1:9" ht="32.4" customHeight="1" x14ac:dyDescent="0.3">
      <c r="A149" s="3" t="s">
        <v>579</v>
      </c>
      <c r="B149" s="4" t="s">
        <v>575</v>
      </c>
      <c r="C149" s="4" t="s">
        <v>580</v>
      </c>
      <c r="D149" s="6" t="s">
        <v>18</v>
      </c>
      <c r="E149" s="4" t="s">
        <v>581</v>
      </c>
      <c r="F149" s="3" t="s">
        <v>582</v>
      </c>
      <c r="G149" s="4"/>
      <c r="H149" s="4"/>
      <c r="I149" s="27" t="s">
        <v>41</v>
      </c>
    </row>
    <row r="150" spans="1:9" ht="32.4" customHeight="1" x14ac:dyDescent="0.3">
      <c r="A150" s="3" t="s">
        <v>583</v>
      </c>
      <c r="B150" s="4" t="s">
        <v>575</v>
      </c>
      <c r="C150" s="4" t="s">
        <v>584</v>
      </c>
      <c r="D150" s="5" t="s">
        <v>14</v>
      </c>
      <c r="E150" s="4" t="s">
        <v>56</v>
      </c>
      <c r="F150" s="3" t="s">
        <v>585</v>
      </c>
      <c r="G150" s="4"/>
      <c r="H150" s="4"/>
      <c r="I150" s="26" t="s">
        <v>38</v>
      </c>
    </row>
    <row r="151" spans="1:9" ht="48.6" customHeight="1" x14ac:dyDescent="0.3">
      <c r="A151" s="3" t="s">
        <v>586</v>
      </c>
      <c r="B151" s="4" t="s">
        <v>575</v>
      </c>
      <c r="C151" s="4" t="s">
        <v>587</v>
      </c>
      <c r="D151" s="8" t="s">
        <v>20</v>
      </c>
      <c r="E151" s="4" t="s">
        <v>588</v>
      </c>
      <c r="F151" s="3" t="s">
        <v>589</v>
      </c>
      <c r="G151" s="4"/>
      <c r="H151" s="4"/>
      <c r="I151" s="27" t="s">
        <v>41</v>
      </c>
    </row>
    <row r="152" spans="1:9" ht="48.6" customHeight="1" x14ac:dyDescent="0.3">
      <c r="A152" s="3" t="s">
        <v>590</v>
      </c>
      <c r="B152" s="4" t="s">
        <v>575</v>
      </c>
      <c r="C152" s="4" t="s">
        <v>591</v>
      </c>
      <c r="D152" s="3" t="s">
        <v>18</v>
      </c>
      <c r="E152" s="4" t="s">
        <v>592</v>
      </c>
      <c r="F152" s="3" t="s">
        <v>593</v>
      </c>
      <c r="G152" s="4"/>
      <c r="H152" s="4"/>
      <c r="I152" s="27" t="s">
        <v>41</v>
      </c>
    </row>
    <row r="153" spans="1:9" ht="48.6" customHeight="1" x14ac:dyDescent="0.3">
      <c r="A153" s="3" t="s">
        <v>594</v>
      </c>
      <c r="B153" s="4" t="s">
        <v>575</v>
      </c>
      <c r="C153" s="4" t="s">
        <v>595</v>
      </c>
      <c r="D153" s="6" t="s">
        <v>18</v>
      </c>
      <c r="E153" s="4" t="s">
        <v>596</v>
      </c>
      <c r="F153" s="3" t="s">
        <v>597</v>
      </c>
      <c r="G153" s="4"/>
      <c r="H153" s="4"/>
      <c r="I153" s="27" t="s">
        <v>41</v>
      </c>
    </row>
    <row r="154" spans="1:9" ht="64.95" customHeight="1" x14ac:dyDescent="0.3">
      <c r="A154" s="3" t="s">
        <v>598</v>
      </c>
      <c r="B154" s="4" t="s">
        <v>599</v>
      </c>
      <c r="C154" s="4" t="s">
        <v>600</v>
      </c>
      <c r="D154" s="6" t="s">
        <v>18</v>
      </c>
      <c r="E154" s="4" t="s">
        <v>601</v>
      </c>
      <c r="F154" s="3" t="s">
        <v>602</v>
      </c>
      <c r="G154" s="4"/>
      <c r="H154" s="4"/>
      <c r="I154" s="27" t="s">
        <v>41</v>
      </c>
    </row>
    <row r="155" spans="1:9" ht="48.6" customHeight="1" x14ac:dyDescent="0.3">
      <c r="A155" s="3" t="s">
        <v>603</v>
      </c>
      <c r="B155" s="4" t="s">
        <v>599</v>
      </c>
      <c r="C155" s="4" t="s">
        <v>604</v>
      </c>
      <c r="D155" s="3" t="s">
        <v>14</v>
      </c>
      <c r="E155" s="4" t="s">
        <v>605</v>
      </c>
      <c r="F155" s="3" t="s">
        <v>185</v>
      </c>
      <c r="G155" s="4"/>
      <c r="H155" s="4" t="s">
        <v>606</v>
      </c>
      <c r="I155" s="26" t="s">
        <v>38</v>
      </c>
    </row>
    <row r="156" spans="1:9" ht="64.95" customHeight="1" x14ac:dyDescent="0.3">
      <c r="A156" s="3" t="s">
        <v>607</v>
      </c>
      <c r="B156" s="4" t="s">
        <v>599</v>
      </c>
      <c r="C156" s="4" t="s">
        <v>608</v>
      </c>
      <c r="D156" s="6" t="s">
        <v>18</v>
      </c>
      <c r="E156" s="4" t="s">
        <v>248</v>
      </c>
      <c r="F156" s="3" t="s">
        <v>609</v>
      </c>
      <c r="G156" s="4"/>
      <c r="H156" s="44"/>
      <c r="I156" s="27" t="s">
        <v>41</v>
      </c>
    </row>
    <row r="157" spans="1:9" ht="48.6" customHeight="1" x14ac:dyDescent="0.3">
      <c r="A157" s="3" t="s">
        <v>610</v>
      </c>
      <c r="B157" s="4" t="s">
        <v>599</v>
      </c>
      <c r="C157" s="4" t="s">
        <v>611</v>
      </c>
      <c r="D157" s="7" t="s">
        <v>16</v>
      </c>
      <c r="E157" s="4" t="s">
        <v>189</v>
      </c>
      <c r="F157" s="3" t="s">
        <v>185</v>
      </c>
      <c r="G157" s="4"/>
      <c r="H157" s="4"/>
      <c r="I157" s="28" t="s">
        <v>46</v>
      </c>
    </row>
    <row r="158" spans="1:9" ht="145.94999999999999" customHeight="1" x14ac:dyDescent="0.3">
      <c r="A158" s="3" t="s">
        <v>612</v>
      </c>
      <c r="B158" s="4" t="s">
        <v>599</v>
      </c>
      <c r="C158" s="4" t="s">
        <v>613</v>
      </c>
      <c r="D158" s="8" t="s">
        <v>20</v>
      </c>
      <c r="E158" s="4" t="s">
        <v>614</v>
      </c>
      <c r="F158" s="3" t="s">
        <v>615</v>
      </c>
      <c r="G158" s="4"/>
      <c r="H158" s="4"/>
      <c r="I158" s="27" t="s">
        <v>41</v>
      </c>
    </row>
    <row r="159" spans="1:9" ht="48.6" customHeight="1" x14ac:dyDescent="0.3">
      <c r="A159" s="3" t="s">
        <v>616</v>
      </c>
      <c r="B159" s="4" t="s">
        <v>599</v>
      </c>
      <c r="C159" s="4" t="s">
        <v>617</v>
      </c>
      <c r="D159" s="8" t="s">
        <v>20</v>
      </c>
      <c r="E159" s="4" t="s">
        <v>614</v>
      </c>
      <c r="F159" s="3" t="s">
        <v>618</v>
      </c>
      <c r="G159" s="4"/>
      <c r="H159" s="4"/>
      <c r="I159" s="27" t="s">
        <v>41</v>
      </c>
    </row>
    <row r="160" spans="1:9" ht="48.6" customHeight="1" x14ac:dyDescent="0.3">
      <c r="A160" s="3" t="s">
        <v>619</v>
      </c>
      <c r="B160" s="4" t="s">
        <v>599</v>
      </c>
      <c r="C160" s="4" t="s">
        <v>620</v>
      </c>
      <c r="D160" s="5" t="s">
        <v>14</v>
      </c>
      <c r="E160" s="4" t="s">
        <v>621</v>
      </c>
      <c r="F160" s="3" t="s">
        <v>185</v>
      </c>
      <c r="G160" s="4"/>
      <c r="H160" s="4" t="s">
        <v>622</v>
      </c>
      <c r="I160" s="26" t="s">
        <v>38</v>
      </c>
    </row>
    <row r="161" spans="1:9" ht="48.6" customHeight="1" x14ac:dyDescent="0.3">
      <c r="A161" s="3" t="s">
        <v>623</v>
      </c>
      <c r="B161" s="4" t="s">
        <v>599</v>
      </c>
      <c r="C161" s="4" t="s">
        <v>624</v>
      </c>
      <c r="D161" s="8" t="s">
        <v>20</v>
      </c>
      <c r="E161" s="4" t="s">
        <v>625</v>
      </c>
      <c r="F161" s="3" t="s">
        <v>626</v>
      </c>
      <c r="G161" s="4"/>
      <c r="H161" s="4" t="s">
        <v>622</v>
      </c>
      <c r="I161" s="27" t="s">
        <v>41</v>
      </c>
    </row>
    <row r="162" spans="1:9" ht="32.4" customHeight="1" x14ac:dyDescent="0.3">
      <c r="A162" s="3" t="s">
        <v>627</v>
      </c>
      <c r="B162" s="4" t="s">
        <v>599</v>
      </c>
      <c r="C162" s="4" t="s">
        <v>628</v>
      </c>
      <c r="D162" s="6" t="s">
        <v>18</v>
      </c>
      <c r="E162" s="4" t="s">
        <v>629</v>
      </c>
      <c r="F162" s="3" t="s">
        <v>578</v>
      </c>
      <c r="G162" s="4"/>
      <c r="H162" s="4" t="s">
        <v>622</v>
      </c>
      <c r="I162" s="27" t="s">
        <v>41</v>
      </c>
    </row>
    <row r="163" spans="1:9" ht="32.4" customHeight="1" x14ac:dyDescent="0.3">
      <c r="A163" s="3" t="s">
        <v>630</v>
      </c>
      <c r="B163" s="4" t="s">
        <v>599</v>
      </c>
      <c r="C163" s="4" t="s">
        <v>631</v>
      </c>
      <c r="D163" s="8" t="s">
        <v>20</v>
      </c>
      <c r="E163" s="4" t="s">
        <v>632</v>
      </c>
      <c r="F163" s="3" t="s">
        <v>230</v>
      </c>
      <c r="G163" s="4"/>
      <c r="H163" s="4" t="s">
        <v>622</v>
      </c>
      <c r="I163" s="27" t="s">
        <v>41</v>
      </c>
    </row>
    <row r="164" spans="1:9" ht="32.4" customHeight="1" x14ac:dyDescent="0.3">
      <c r="A164" s="3" t="s">
        <v>633</v>
      </c>
      <c r="B164" s="4" t="s">
        <v>599</v>
      </c>
      <c r="C164" s="4" t="s">
        <v>634</v>
      </c>
      <c r="D164" s="5" t="s">
        <v>14</v>
      </c>
      <c r="E164" s="4" t="s">
        <v>189</v>
      </c>
      <c r="F164" s="3" t="s">
        <v>635</v>
      </c>
      <c r="G164" s="4"/>
      <c r="H164" s="4" t="s">
        <v>622</v>
      </c>
      <c r="I164" s="26" t="s">
        <v>38</v>
      </c>
    </row>
    <row r="165" spans="1:9" ht="48.6" customHeight="1" x14ac:dyDescent="0.3">
      <c r="A165" s="3" t="s">
        <v>636</v>
      </c>
      <c r="B165" s="4" t="s">
        <v>599</v>
      </c>
      <c r="C165" s="4" t="s">
        <v>637</v>
      </c>
      <c r="D165" s="3" t="s">
        <v>22</v>
      </c>
      <c r="E165" s="4" t="s">
        <v>638</v>
      </c>
      <c r="F165" s="3" t="s">
        <v>174</v>
      </c>
      <c r="G165" s="4"/>
      <c r="H165" s="4"/>
      <c r="I165" s="27" t="s">
        <v>41</v>
      </c>
    </row>
    <row r="166" spans="1:9" ht="48.6" customHeight="1" x14ac:dyDescent="0.3">
      <c r="A166" s="3" t="s">
        <v>639</v>
      </c>
      <c r="B166" s="4" t="s">
        <v>599</v>
      </c>
      <c r="C166" s="4" t="s">
        <v>640</v>
      </c>
      <c r="D166" s="9" t="s">
        <v>14</v>
      </c>
      <c r="E166" s="4" t="s">
        <v>641</v>
      </c>
      <c r="F166" s="3" t="s">
        <v>174</v>
      </c>
      <c r="G166" s="4"/>
      <c r="H166" s="4" t="s">
        <v>642</v>
      </c>
      <c r="I166" s="26" t="s">
        <v>38</v>
      </c>
    </row>
    <row r="167" spans="1:9" ht="48.6" customHeight="1" x14ac:dyDescent="0.3">
      <c r="A167" s="3" t="s">
        <v>643</v>
      </c>
      <c r="B167" s="4" t="s">
        <v>599</v>
      </c>
      <c r="C167" s="4" t="s">
        <v>644</v>
      </c>
      <c r="D167" s="3" t="s">
        <v>20</v>
      </c>
      <c r="E167" s="4" t="s">
        <v>645</v>
      </c>
      <c r="F167" s="3" t="s">
        <v>578</v>
      </c>
      <c r="G167" s="4"/>
      <c r="H167" s="4"/>
      <c r="I167" s="27" t="s">
        <v>41</v>
      </c>
    </row>
    <row r="168" spans="1:9" ht="113.4" customHeight="1" x14ac:dyDescent="0.3">
      <c r="A168" s="3" t="s">
        <v>646</v>
      </c>
      <c r="B168" s="4" t="s">
        <v>599</v>
      </c>
      <c r="C168" s="4" t="s">
        <v>647</v>
      </c>
      <c r="D168" s="8" t="s">
        <v>20</v>
      </c>
      <c r="E168" s="4" t="s">
        <v>614</v>
      </c>
      <c r="F168" s="3" t="s">
        <v>618</v>
      </c>
      <c r="G168" s="4"/>
      <c r="H168" s="4" t="s">
        <v>648</v>
      </c>
      <c r="I168" s="27" t="s">
        <v>41</v>
      </c>
    </row>
    <row r="169" spans="1:9" ht="81" customHeight="1" x14ac:dyDescent="0.3">
      <c r="A169" s="3" t="s">
        <v>649</v>
      </c>
      <c r="B169" s="4" t="s">
        <v>599</v>
      </c>
      <c r="C169" s="4" t="s">
        <v>650</v>
      </c>
      <c r="D169" s="3" t="s">
        <v>20</v>
      </c>
      <c r="E169" s="4" t="s">
        <v>614</v>
      </c>
      <c r="F169" s="3" t="s">
        <v>618</v>
      </c>
      <c r="G169" s="4"/>
      <c r="H169" s="4"/>
      <c r="I169" s="27" t="s">
        <v>41</v>
      </c>
    </row>
    <row r="170" spans="1:9" ht="97.2" customHeight="1" x14ac:dyDescent="0.3">
      <c r="A170" s="3" t="s">
        <v>651</v>
      </c>
      <c r="B170" s="4" t="s">
        <v>599</v>
      </c>
      <c r="C170" s="4" t="s">
        <v>652</v>
      </c>
      <c r="D170" s="3" t="s">
        <v>20</v>
      </c>
      <c r="E170" s="4" t="s">
        <v>641</v>
      </c>
      <c r="F170" s="3" t="s">
        <v>653</v>
      </c>
      <c r="G170" s="4"/>
      <c r="H170" s="4"/>
      <c r="I170" s="27" t="s">
        <v>41</v>
      </c>
    </row>
    <row r="171" spans="1:9" ht="97.2" customHeight="1" x14ac:dyDescent="0.3">
      <c r="A171" s="3" t="s">
        <v>654</v>
      </c>
      <c r="B171" s="4" t="s">
        <v>599</v>
      </c>
      <c r="C171" s="4" t="s">
        <v>655</v>
      </c>
      <c r="D171" s="3" t="s">
        <v>20</v>
      </c>
      <c r="E171" s="4" t="s">
        <v>656</v>
      </c>
      <c r="F171" s="3" t="s">
        <v>657</v>
      </c>
      <c r="G171" s="4"/>
      <c r="H171" s="4"/>
      <c r="I171" s="27" t="s">
        <v>41</v>
      </c>
    </row>
    <row r="172" spans="1:9" ht="64.95" customHeight="1" x14ac:dyDescent="0.3">
      <c r="A172" s="3" t="s">
        <v>658</v>
      </c>
      <c r="B172" s="4" t="s">
        <v>599</v>
      </c>
      <c r="C172" s="4" t="s">
        <v>659</v>
      </c>
      <c r="D172" s="3" t="s">
        <v>18</v>
      </c>
      <c r="E172" s="4" t="s">
        <v>660</v>
      </c>
      <c r="F172" s="3" t="s">
        <v>661</v>
      </c>
      <c r="G172" s="4"/>
      <c r="H172" s="4"/>
      <c r="I172" s="27" t="s">
        <v>41</v>
      </c>
    </row>
    <row r="173" spans="1:9" ht="64.95" customHeight="1" x14ac:dyDescent="0.3">
      <c r="A173" s="3" t="s">
        <v>662</v>
      </c>
      <c r="B173" s="4" t="s">
        <v>663</v>
      </c>
      <c r="C173" s="4" t="s">
        <v>664</v>
      </c>
      <c r="D173" s="6" t="s">
        <v>14</v>
      </c>
      <c r="E173" s="4" t="s">
        <v>36</v>
      </c>
      <c r="F173" s="3" t="s">
        <v>117</v>
      </c>
      <c r="G173" s="4"/>
      <c r="H173" s="4"/>
      <c r="I173" s="26" t="s">
        <v>38</v>
      </c>
    </row>
    <row r="174" spans="1:9" ht="81" customHeight="1" x14ac:dyDescent="0.3">
      <c r="A174" s="3" t="s">
        <v>665</v>
      </c>
      <c r="B174" s="4" t="s">
        <v>663</v>
      </c>
      <c r="C174" s="4" t="s">
        <v>666</v>
      </c>
      <c r="D174" s="6" t="s">
        <v>14</v>
      </c>
      <c r="E174" s="4" t="s">
        <v>36</v>
      </c>
      <c r="F174" s="3" t="s">
        <v>117</v>
      </c>
      <c r="G174" s="4"/>
      <c r="H174" s="4"/>
      <c r="I174" s="26" t="s">
        <v>38</v>
      </c>
    </row>
    <row r="175" spans="1:9" ht="113.4" customHeight="1" x14ac:dyDescent="0.3">
      <c r="A175" s="3" t="s">
        <v>667</v>
      </c>
      <c r="B175" s="4" t="s">
        <v>663</v>
      </c>
      <c r="C175" s="4" t="s">
        <v>668</v>
      </c>
      <c r="D175" s="6" t="s">
        <v>18</v>
      </c>
      <c r="E175" s="4" t="s">
        <v>36</v>
      </c>
      <c r="F175" s="3" t="s">
        <v>669</v>
      </c>
      <c r="G175" s="4"/>
      <c r="H175" s="4" t="s">
        <v>670</v>
      </c>
      <c r="I175" s="27" t="s">
        <v>41</v>
      </c>
    </row>
    <row r="176" spans="1:9" ht="48.6" customHeight="1" x14ac:dyDescent="0.3">
      <c r="A176" s="3" t="s">
        <v>671</v>
      </c>
      <c r="B176" s="4" t="s">
        <v>663</v>
      </c>
      <c r="C176" s="4" t="s">
        <v>672</v>
      </c>
      <c r="D176" s="3" t="s">
        <v>18</v>
      </c>
      <c r="E176" s="4" t="s">
        <v>36</v>
      </c>
      <c r="F176" s="3" t="s">
        <v>673</v>
      </c>
      <c r="G176" s="4"/>
      <c r="H176" s="4"/>
      <c r="I176" s="27" t="s">
        <v>41</v>
      </c>
    </row>
    <row r="177" spans="1:9" ht="64.95" customHeight="1" x14ac:dyDescent="0.3">
      <c r="A177" s="3" t="s">
        <v>674</v>
      </c>
      <c r="B177" s="4" t="s">
        <v>663</v>
      </c>
      <c r="C177" s="4" t="s">
        <v>675</v>
      </c>
      <c r="D177" s="6" t="s">
        <v>20</v>
      </c>
      <c r="E177" s="4" t="s">
        <v>676</v>
      </c>
      <c r="F177" s="3" t="s">
        <v>677</v>
      </c>
      <c r="G177" s="4"/>
      <c r="H177" s="4"/>
      <c r="I177" s="27" t="s">
        <v>41</v>
      </c>
    </row>
    <row r="178" spans="1:9" ht="48.6" customHeight="1" x14ac:dyDescent="0.3">
      <c r="A178" s="3" t="s">
        <v>678</v>
      </c>
      <c r="B178" s="4" t="s">
        <v>663</v>
      </c>
      <c r="C178" s="4" t="s">
        <v>679</v>
      </c>
      <c r="D178" s="6" t="s">
        <v>20</v>
      </c>
      <c r="E178" s="4" t="s">
        <v>36</v>
      </c>
      <c r="F178" s="3" t="s">
        <v>117</v>
      </c>
      <c r="G178" s="4"/>
      <c r="H178" s="4"/>
      <c r="I178" s="27" t="s">
        <v>41</v>
      </c>
    </row>
    <row r="179" spans="1:9" ht="64.95" customHeight="1" x14ac:dyDescent="0.3">
      <c r="A179" s="3" t="s">
        <v>680</v>
      </c>
      <c r="B179" s="4" t="s">
        <v>663</v>
      </c>
      <c r="C179" s="4" t="s">
        <v>681</v>
      </c>
      <c r="D179" s="6" t="s">
        <v>18</v>
      </c>
      <c r="E179" s="4" t="s">
        <v>682</v>
      </c>
      <c r="F179" s="3" t="s">
        <v>683</v>
      </c>
      <c r="G179" s="4"/>
      <c r="H179" s="4"/>
      <c r="I179" s="27" t="s">
        <v>41</v>
      </c>
    </row>
    <row r="180" spans="1:9" ht="48.6" customHeight="1" x14ac:dyDescent="0.3">
      <c r="A180" s="3" t="s">
        <v>684</v>
      </c>
      <c r="B180" s="4" t="s">
        <v>663</v>
      </c>
      <c r="C180" s="4" t="s">
        <v>685</v>
      </c>
      <c r="D180" s="6" t="s">
        <v>18</v>
      </c>
      <c r="E180" s="4" t="s">
        <v>676</v>
      </c>
      <c r="F180" s="3" t="s">
        <v>686</v>
      </c>
      <c r="G180" s="4"/>
      <c r="H180" s="4"/>
      <c r="I180" s="27" t="s">
        <v>41</v>
      </c>
    </row>
    <row r="181" spans="1:9" ht="48.6" customHeight="1" x14ac:dyDescent="0.3">
      <c r="A181" s="3" t="s">
        <v>687</v>
      </c>
      <c r="B181" s="4" t="s">
        <v>663</v>
      </c>
      <c r="C181" s="4" t="s">
        <v>688</v>
      </c>
      <c r="D181" s="6" t="s">
        <v>14</v>
      </c>
      <c r="E181" s="4" t="s">
        <v>689</v>
      </c>
      <c r="F181" s="3" t="s">
        <v>480</v>
      </c>
      <c r="G181" s="4"/>
      <c r="H181" s="4"/>
      <c r="I181" s="26" t="s">
        <v>38</v>
      </c>
    </row>
    <row r="182" spans="1:9" ht="48.6" customHeight="1" x14ac:dyDescent="0.3">
      <c r="A182" s="3" t="s">
        <v>690</v>
      </c>
      <c r="B182" s="4" t="s">
        <v>663</v>
      </c>
      <c r="C182" s="4" t="s">
        <v>691</v>
      </c>
      <c r="D182" s="6" t="s">
        <v>14</v>
      </c>
      <c r="E182" s="4" t="s">
        <v>692</v>
      </c>
      <c r="F182" s="3" t="s">
        <v>693</v>
      </c>
      <c r="G182" s="4"/>
      <c r="H182" s="4"/>
      <c r="I182" s="26" t="s">
        <v>38</v>
      </c>
    </row>
    <row r="183" spans="1:9" ht="81" customHeight="1" x14ac:dyDescent="0.3">
      <c r="A183" s="3" t="s">
        <v>694</v>
      </c>
      <c r="B183" s="4" t="s">
        <v>87</v>
      </c>
      <c r="C183" s="4" t="s">
        <v>695</v>
      </c>
      <c r="D183" s="6" t="s">
        <v>14</v>
      </c>
      <c r="E183" s="4" t="s">
        <v>189</v>
      </c>
      <c r="F183" s="3" t="s">
        <v>696</v>
      </c>
      <c r="G183" s="4"/>
      <c r="H183" s="4"/>
      <c r="I183" s="26" t="s">
        <v>38</v>
      </c>
    </row>
    <row r="184" spans="1:9" ht="48.6" customHeight="1" x14ac:dyDescent="0.3">
      <c r="A184" s="3" t="s">
        <v>697</v>
      </c>
      <c r="B184" s="4" t="s">
        <v>87</v>
      </c>
      <c r="C184" s="4" t="s">
        <v>698</v>
      </c>
      <c r="D184" s="6" t="s">
        <v>14</v>
      </c>
      <c r="E184" s="4" t="s">
        <v>189</v>
      </c>
      <c r="F184" s="3" t="s">
        <v>185</v>
      </c>
      <c r="G184" s="4"/>
      <c r="H184" s="4" t="s">
        <v>699</v>
      </c>
      <c r="I184" s="26" t="s">
        <v>38</v>
      </c>
    </row>
    <row r="185" spans="1:9" ht="48.6" customHeight="1" x14ac:dyDescent="0.3">
      <c r="A185" s="3" t="s">
        <v>700</v>
      </c>
      <c r="B185" s="4" t="s">
        <v>87</v>
      </c>
      <c r="C185" s="4" t="s">
        <v>701</v>
      </c>
      <c r="D185" s="6" t="s">
        <v>14</v>
      </c>
      <c r="E185" s="4" t="s">
        <v>179</v>
      </c>
      <c r="F185" s="3" t="s">
        <v>702</v>
      </c>
      <c r="G185" s="4"/>
      <c r="H185" s="4"/>
      <c r="I185" s="26" t="s">
        <v>38</v>
      </c>
    </row>
    <row r="186" spans="1:9" ht="64.95" customHeight="1" x14ac:dyDescent="0.3">
      <c r="A186" s="3" t="s">
        <v>703</v>
      </c>
      <c r="B186" s="4" t="s">
        <v>87</v>
      </c>
      <c r="C186" s="4" t="s">
        <v>704</v>
      </c>
      <c r="D186" s="6" t="s">
        <v>18</v>
      </c>
      <c r="E186" s="4" t="s">
        <v>705</v>
      </c>
      <c r="F186" s="3" t="s">
        <v>706</v>
      </c>
      <c r="G186" s="4"/>
      <c r="H186" s="4"/>
      <c r="I186" s="26" t="s">
        <v>41</v>
      </c>
    </row>
    <row r="187" spans="1:9" ht="32.4" customHeight="1" x14ac:dyDescent="0.3">
      <c r="A187" s="3" t="s">
        <v>707</v>
      </c>
      <c r="B187" s="4" t="s">
        <v>87</v>
      </c>
      <c r="C187" s="4" t="s">
        <v>708</v>
      </c>
      <c r="D187" s="6" t="s">
        <v>14</v>
      </c>
      <c r="E187" s="4" t="s">
        <v>189</v>
      </c>
      <c r="F187" s="3" t="s">
        <v>185</v>
      </c>
      <c r="G187" s="4"/>
      <c r="H187" s="4"/>
      <c r="I187" s="26" t="s">
        <v>38</v>
      </c>
    </row>
    <row r="188" spans="1:9" ht="64.95" customHeight="1" x14ac:dyDescent="0.3">
      <c r="A188" s="3" t="s">
        <v>709</v>
      </c>
      <c r="B188" s="4" t="s">
        <v>87</v>
      </c>
      <c r="C188" s="4" t="s">
        <v>710</v>
      </c>
      <c r="D188" s="6" t="s">
        <v>14</v>
      </c>
      <c r="E188" s="4" t="s">
        <v>488</v>
      </c>
      <c r="F188" s="3" t="s">
        <v>711</v>
      </c>
      <c r="G188" s="4"/>
      <c r="H188" s="4"/>
      <c r="I188" s="26" t="s">
        <v>38</v>
      </c>
    </row>
    <row r="189" spans="1:9" ht="48.6" customHeight="1" x14ac:dyDescent="0.3">
      <c r="A189" s="3" t="s">
        <v>712</v>
      </c>
      <c r="B189" s="4" t="s">
        <v>87</v>
      </c>
      <c r="C189" s="4" t="s">
        <v>713</v>
      </c>
      <c r="D189" s="3" t="s">
        <v>14</v>
      </c>
      <c r="E189" s="4" t="s">
        <v>189</v>
      </c>
      <c r="F189" s="3" t="s">
        <v>185</v>
      </c>
      <c r="G189" s="4"/>
      <c r="H189" s="4"/>
      <c r="I189" s="26" t="s">
        <v>38</v>
      </c>
    </row>
    <row r="190" spans="1:9" ht="48.6" customHeight="1" x14ac:dyDescent="0.3">
      <c r="A190" s="3" t="s">
        <v>714</v>
      </c>
      <c r="B190" s="4" t="s">
        <v>87</v>
      </c>
      <c r="C190" s="4" t="s">
        <v>715</v>
      </c>
      <c r="D190" s="6" t="s">
        <v>18</v>
      </c>
      <c r="E190" s="4" t="s">
        <v>716</v>
      </c>
      <c r="F190" s="3" t="s">
        <v>717</v>
      </c>
      <c r="G190" s="4"/>
      <c r="H190" s="4" t="s">
        <v>718</v>
      </c>
      <c r="I190" s="26" t="s">
        <v>41</v>
      </c>
    </row>
    <row r="191" spans="1:9" ht="48.6" customHeight="1" x14ac:dyDescent="0.3">
      <c r="A191" s="3" t="s">
        <v>719</v>
      </c>
      <c r="B191" s="4" t="s">
        <v>87</v>
      </c>
      <c r="C191" s="4" t="s">
        <v>720</v>
      </c>
      <c r="D191" s="6" t="s">
        <v>18</v>
      </c>
      <c r="E191" s="4" t="s">
        <v>721</v>
      </c>
      <c r="F191" s="3" t="s">
        <v>578</v>
      </c>
      <c r="G191" s="4"/>
      <c r="H191" s="4"/>
      <c r="I191" s="33" t="s">
        <v>41</v>
      </c>
    </row>
    <row r="192" spans="1:9" ht="32.4" customHeight="1" x14ac:dyDescent="0.3">
      <c r="A192" s="3" t="s">
        <v>722</v>
      </c>
      <c r="B192" s="4" t="s">
        <v>87</v>
      </c>
      <c r="C192" s="4" t="s">
        <v>723</v>
      </c>
      <c r="D192" s="6" t="s">
        <v>18</v>
      </c>
      <c r="E192" s="4" t="s">
        <v>724</v>
      </c>
      <c r="F192" s="3" t="s">
        <v>185</v>
      </c>
      <c r="G192" s="4"/>
      <c r="H192" s="4"/>
      <c r="I192" s="26" t="s">
        <v>41</v>
      </c>
    </row>
    <row r="193" spans="1:9" ht="32.4" customHeight="1" x14ac:dyDescent="0.3">
      <c r="A193" s="3" t="s">
        <v>725</v>
      </c>
      <c r="B193" s="4" t="s">
        <v>87</v>
      </c>
      <c r="C193" s="4" t="s">
        <v>726</v>
      </c>
      <c r="D193" s="6" t="s">
        <v>20</v>
      </c>
      <c r="E193" s="4" t="s">
        <v>727</v>
      </c>
      <c r="F193" s="3" t="s">
        <v>728</v>
      </c>
      <c r="G193" s="4"/>
      <c r="H193" s="4"/>
      <c r="I193" s="26" t="s">
        <v>41</v>
      </c>
    </row>
    <row r="194" spans="1:9" ht="81" customHeight="1" x14ac:dyDescent="0.3">
      <c r="A194" s="3" t="s">
        <v>729</v>
      </c>
      <c r="B194" s="4" t="s">
        <v>150</v>
      </c>
      <c r="C194" s="4" t="s">
        <v>730</v>
      </c>
      <c r="D194" s="6" t="s">
        <v>14</v>
      </c>
      <c r="E194" s="4" t="s">
        <v>150</v>
      </c>
      <c r="F194" s="3" t="s">
        <v>164</v>
      </c>
      <c r="G194" s="4"/>
      <c r="H194" s="4"/>
      <c r="I194" s="26" t="s">
        <v>38</v>
      </c>
    </row>
    <row r="195" spans="1:9" ht="48.6" customHeight="1" x14ac:dyDescent="0.3">
      <c r="A195" s="3" t="s">
        <v>731</v>
      </c>
      <c r="B195" s="4" t="s">
        <v>150</v>
      </c>
      <c r="C195" s="4" t="s">
        <v>732</v>
      </c>
      <c r="D195" s="6" t="s">
        <v>14</v>
      </c>
      <c r="E195" s="4" t="s">
        <v>150</v>
      </c>
      <c r="F195" s="3" t="s">
        <v>164</v>
      </c>
      <c r="G195" s="4"/>
      <c r="H195" s="4"/>
      <c r="I195" s="26" t="s">
        <v>38</v>
      </c>
    </row>
    <row r="196" spans="1:9" ht="32.4" customHeight="1" x14ac:dyDescent="0.3">
      <c r="A196" s="3" t="s">
        <v>733</v>
      </c>
      <c r="B196" s="4" t="s">
        <v>150</v>
      </c>
      <c r="C196" s="4" t="s">
        <v>734</v>
      </c>
      <c r="D196" s="6" t="s">
        <v>14</v>
      </c>
      <c r="E196" s="4" t="s">
        <v>533</v>
      </c>
      <c r="F196" s="3" t="s">
        <v>164</v>
      </c>
      <c r="G196" s="4"/>
      <c r="H196" s="4"/>
      <c r="I196" s="26" t="s">
        <v>38</v>
      </c>
    </row>
    <row r="197" spans="1:9" ht="48.6" customHeight="1" x14ac:dyDescent="0.3">
      <c r="A197" s="3" t="s">
        <v>735</v>
      </c>
      <c r="B197" s="4" t="s">
        <v>150</v>
      </c>
      <c r="C197" s="4" t="s">
        <v>736</v>
      </c>
      <c r="D197" s="6" t="s">
        <v>18</v>
      </c>
      <c r="E197" s="4" t="s">
        <v>150</v>
      </c>
      <c r="F197" s="3" t="s">
        <v>164</v>
      </c>
      <c r="G197" s="4"/>
      <c r="H197" s="4"/>
      <c r="I197" s="26" t="s">
        <v>41</v>
      </c>
    </row>
    <row r="198" spans="1:9" ht="48.6" customHeight="1" x14ac:dyDescent="0.3">
      <c r="A198" s="3" t="s">
        <v>737</v>
      </c>
      <c r="B198" s="4" t="s">
        <v>150</v>
      </c>
      <c r="C198" s="4" t="s">
        <v>738</v>
      </c>
      <c r="D198" s="6" t="s">
        <v>18</v>
      </c>
      <c r="E198" s="4" t="s">
        <v>739</v>
      </c>
      <c r="F198" s="3" t="s">
        <v>740</v>
      </c>
      <c r="G198" s="4"/>
      <c r="H198" s="4" t="s">
        <v>741</v>
      </c>
      <c r="I198" s="26" t="s">
        <v>41</v>
      </c>
    </row>
    <row r="199" spans="1:9" ht="64.95" customHeight="1" x14ac:dyDescent="0.3">
      <c r="A199" s="3" t="s">
        <v>742</v>
      </c>
      <c r="B199" s="4" t="s">
        <v>150</v>
      </c>
      <c r="C199" s="4" t="s">
        <v>743</v>
      </c>
      <c r="D199" s="6" t="s">
        <v>18</v>
      </c>
      <c r="E199" s="4" t="s">
        <v>744</v>
      </c>
      <c r="F199" s="3" t="s">
        <v>164</v>
      </c>
      <c r="G199" s="4"/>
      <c r="H199" s="4"/>
      <c r="I199" s="26" t="s">
        <v>41</v>
      </c>
    </row>
    <row r="200" spans="1:9" ht="97.2" customHeight="1" x14ac:dyDescent="0.3">
      <c r="A200" s="3" t="s">
        <v>745</v>
      </c>
      <c r="B200" s="4" t="s">
        <v>150</v>
      </c>
      <c r="C200" s="4" t="s">
        <v>746</v>
      </c>
      <c r="D200" s="6" t="s">
        <v>18</v>
      </c>
      <c r="E200" s="4" t="s">
        <v>747</v>
      </c>
      <c r="F200" s="3" t="s">
        <v>748</v>
      </c>
      <c r="G200" s="4"/>
      <c r="H200" s="4"/>
      <c r="I200" s="26" t="s">
        <v>41</v>
      </c>
    </row>
    <row r="201" spans="1:9" ht="48.6" customHeight="1" x14ac:dyDescent="0.3">
      <c r="A201" s="3" t="s">
        <v>749</v>
      </c>
      <c r="B201" s="4" t="s">
        <v>150</v>
      </c>
      <c r="C201" s="4" t="s">
        <v>750</v>
      </c>
      <c r="D201" s="6" t="s">
        <v>18</v>
      </c>
      <c r="E201" s="4" t="s">
        <v>751</v>
      </c>
      <c r="F201" s="3" t="s">
        <v>164</v>
      </c>
      <c r="G201" s="4"/>
      <c r="H201" s="4" t="s">
        <v>752</v>
      </c>
      <c r="I201" s="33" t="s">
        <v>41</v>
      </c>
    </row>
    <row r="202" spans="1:9" ht="48.6" customHeight="1" x14ac:dyDescent="0.3">
      <c r="A202" s="3" t="s">
        <v>753</v>
      </c>
      <c r="B202" s="4" t="s">
        <v>150</v>
      </c>
      <c r="C202" s="4" t="s">
        <v>754</v>
      </c>
      <c r="D202" s="6" t="s">
        <v>18</v>
      </c>
      <c r="E202" s="4" t="s">
        <v>755</v>
      </c>
      <c r="F202" s="3" t="s">
        <v>319</v>
      </c>
      <c r="G202" s="4"/>
      <c r="H202" s="4"/>
      <c r="I202" s="33" t="s">
        <v>41</v>
      </c>
    </row>
    <row r="203" spans="1:9" ht="81" customHeight="1" x14ac:dyDescent="0.3">
      <c r="A203" s="3" t="s">
        <v>756</v>
      </c>
      <c r="B203" s="4" t="s">
        <v>150</v>
      </c>
      <c r="C203" s="4" t="s">
        <v>757</v>
      </c>
      <c r="D203" s="6" t="s">
        <v>18</v>
      </c>
      <c r="E203" s="4" t="s">
        <v>758</v>
      </c>
      <c r="F203" s="3" t="s">
        <v>759</v>
      </c>
      <c r="G203" s="4"/>
      <c r="H203" s="4"/>
      <c r="I203" s="33" t="s">
        <v>41</v>
      </c>
    </row>
    <row r="204" spans="1:9" ht="48.6" customHeight="1" x14ac:dyDescent="0.3">
      <c r="A204" s="3" t="s">
        <v>760</v>
      </c>
      <c r="B204" s="4" t="s">
        <v>150</v>
      </c>
      <c r="C204" s="4" t="s">
        <v>761</v>
      </c>
      <c r="D204" s="6" t="s">
        <v>20</v>
      </c>
      <c r="E204" s="4" t="s">
        <v>762</v>
      </c>
      <c r="F204" s="3" t="s">
        <v>763</v>
      </c>
      <c r="G204" s="4"/>
      <c r="H204" s="4"/>
      <c r="I204" s="33" t="s">
        <v>41</v>
      </c>
    </row>
    <row r="205" spans="1:9" ht="32.4" customHeight="1" x14ac:dyDescent="0.3">
      <c r="A205" s="3" t="s">
        <v>764</v>
      </c>
      <c r="B205" s="4" t="s">
        <v>150</v>
      </c>
      <c r="C205" s="4" t="s">
        <v>765</v>
      </c>
      <c r="D205" s="6" t="s">
        <v>20</v>
      </c>
      <c r="E205" s="4" t="s">
        <v>762</v>
      </c>
      <c r="F205" s="3" t="s">
        <v>76</v>
      </c>
      <c r="G205" s="4"/>
      <c r="H205" s="4" t="s">
        <v>766</v>
      </c>
      <c r="I205" s="33" t="s">
        <v>41</v>
      </c>
    </row>
    <row r="206" spans="1:9" ht="64.95" customHeight="1" x14ac:dyDescent="0.3">
      <c r="A206" s="3" t="s">
        <v>767</v>
      </c>
      <c r="B206" s="4" t="s">
        <v>56</v>
      </c>
      <c r="C206" s="4" t="s">
        <v>768</v>
      </c>
      <c r="D206" s="6" t="s">
        <v>14</v>
      </c>
      <c r="E206" s="4" t="s">
        <v>56</v>
      </c>
      <c r="F206" s="3" t="s">
        <v>480</v>
      </c>
      <c r="G206" s="4"/>
      <c r="H206" s="4"/>
      <c r="I206" s="26" t="s">
        <v>38</v>
      </c>
    </row>
    <row r="207" spans="1:9" ht="32.4" customHeight="1" x14ac:dyDescent="0.3">
      <c r="A207" s="3" t="s">
        <v>769</v>
      </c>
      <c r="B207" s="4" t="s">
        <v>56</v>
      </c>
      <c r="C207" s="4" t="s">
        <v>770</v>
      </c>
      <c r="D207" s="6" t="s">
        <v>14</v>
      </c>
      <c r="E207" s="4" t="s">
        <v>56</v>
      </c>
      <c r="F207" s="3" t="s">
        <v>480</v>
      </c>
      <c r="G207" s="4"/>
      <c r="H207" s="4"/>
      <c r="I207" s="26" t="s">
        <v>38</v>
      </c>
    </row>
    <row r="208" spans="1:9" ht="48.6" customHeight="1" x14ac:dyDescent="0.3">
      <c r="A208" s="3" t="s">
        <v>771</v>
      </c>
      <c r="B208" s="4" t="s">
        <v>56</v>
      </c>
      <c r="C208" s="4" t="s">
        <v>772</v>
      </c>
      <c r="D208" s="6" t="s">
        <v>14</v>
      </c>
      <c r="E208" s="4" t="s">
        <v>56</v>
      </c>
      <c r="F208" s="3" t="s">
        <v>585</v>
      </c>
      <c r="G208" s="4"/>
      <c r="H208" s="4"/>
      <c r="I208" s="26" t="s">
        <v>38</v>
      </c>
    </row>
    <row r="209" spans="1:9" ht="64.95" customHeight="1" x14ac:dyDescent="0.3">
      <c r="A209" s="3" t="s">
        <v>773</v>
      </c>
      <c r="B209" s="4" t="s">
        <v>56</v>
      </c>
      <c r="C209" s="4" t="s">
        <v>774</v>
      </c>
      <c r="D209" s="6" t="s">
        <v>18</v>
      </c>
      <c r="E209" s="4" t="s">
        <v>56</v>
      </c>
      <c r="F209" s="3" t="s">
        <v>480</v>
      </c>
      <c r="G209" s="4"/>
      <c r="H209" s="4"/>
      <c r="I209" s="33" t="s">
        <v>41</v>
      </c>
    </row>
    <row r="210" spans="1:9" ht="64.95" customHeight="1" x14ac:dyDescent="0.3">
      <c r="A210" s="3" t="s">
        <v>775</v>
      </c>
      <c r="B210" s="4" t="s">
        <v>56</v>
      </c>
      <c r="C210" s="4" t="s">
        <v>776</v>
      </c>
      <c r="D210" s="6" t="s">
        <v>20</v>
      </c>
      <c r="E210" s="4" t="s">
        <v>777</v>
      </c>
      <c r="F210" s="3" t="s">
        <v>480</v>
      </c>
      <c r="G210" s="4"/>
      <c r="H210" s="4"/>
      <c r="I210" s="33" t="s">
        <v>41</v>
      </c>
    </row>
    <row r="211" spans="1:9" ht="81" customHeight="1" x14ac:dyDescent="0.3">
      <c r="A211" s="3" t="s">
        <v>778</v>
      </c>
      <c r="B211" s="4" t="s">
        <v>779</v>
      </c>
      <c r="C211" s="4" t="s">
        <v>780</v>
      </c>
      <c r="D211" s="6" t="s">
        <v>14</v>
      </c>
      <c r="E211" s="4" t="s">
        <v>779</v>
      </c>
      <c r="F211" s="3" t="s">
        <v>781</v>
      </c>
      <c r="G211" s="4"/>
      <c r="H211" s="4"/>
      <c r="I211" s="26" t="s">
        <v>38</v>
      </c>
    </row>
    <row r="212" spans="1:9" ht="81" customHeight="1" x14ac:dyDescent="0.3">
      <c r="A212" s="3" t="s">
        <v>782</v>
      </c>
      <c r="B212" s="4" t="s">
        <v>779</v>
      </c>
      <c r="C212" s="4" t="s">
        <v>783</v>
      </c>
      <c r="D212" s="6" t="s">
        <v>14</v>
      </c>
      <c r="E212" s="4" t="s">
        <v>779</v>
      </c>
      <c r="F212" s="3" t="s">
        <v>781</v>
      </c>
      <c r="G212" s="4"/>
      <c r="H212" s="4"/>
      <c r="I212" s="26" t="s">
        <v>38</v>
      </c>
    </row>
    <row r="213" spans="1:9" ht="81" customHeight="1" x14ac:dyDescent="0.3">
      <c r="A213" s="3" t="s">
        <v>784</v>
      </c>
      <c r="B213" s="4" t="s">
        <v>779</v>
      </c>
      <c r="C213" s="4" t="s">
        <v>785</v>
      </c>
      <c r="D213" s="3" t="s">
        <v>18</v>
      </c>
      <c r="E213" s="4" t="s">
        <v>786</v>
      </c>
      <c r="F213" s="3" t="s">
        <v>787</v>
      </c>
      <c r="G213" s="4"/>
      <c r="H213" s="4"/>
      <c r="I213" s="33" t="s">
        <v>41</v>
      </c>
    </row>
    <row r="214" spans="1:9" ht="81" customHeight="1" x14ac:dyDescent="0.3">
      <c r="A214" s="3" t="s">
        <v>788</v>
      </c>
      <c r="B214" s="4" t="s">
        <v>779</v>
      </c>
      <c r="C214" s="4" t="s">
        <v>789</v>
      </c>
      <c r="D214" s="6" t="s">
        <v>18</v>
      </c>
      <c r="E214" s="4" t="s">
        <v>790</v>
      </c>
      <c r="F214" s="3" t="s">
        <v>791</v>
      </c>
      <c r="G214" s="4"/>
      <c r="H214" s="4"/>
      <c r="I214" s="26" t="s">
        <v>41</v>
      </c>
    </row>
    <row r="215" spans="1:9" ht="81" customHeight="1" x14ac:dyDescent="0.3">
      <c r="A215" s="3" t="s">
        <v>792</v>
      </c>
      <c r="B215" s="4" t="s">
        <v>779</v>
      </c>
      <c r="C215" s="4" t="s">
        <v>793</v>
      </c>
      <c r="D215" s="6" t="s">
        <v>14</v>
      </c>
      <c r="E215" s="4" t="s">
        <v>779</v>
      </c>
      <c r="F215" s="3" t="s">
        <v>781</v>
      </c>
      <c r="G215" s="4"/>
      <c r="H215" s="4"/>
      <c r="I215" s="26" t="s">
        <v>38</v>
      </c>
    </row>
    <row r="216" spans="1:9" ht="48.6" customHeight="1" x14ac:dyDescent="0.3">
      <c r="A216" s="3" t="s">
        <v>794</v>
      </c>
      <c r="B216" s="4" t="s">
        <v>779</v>
      </c>
      <c r="C216" s="4" t="s">
        <v>795</v>
      </c>
      <c r="D216" s="6" t="s">
        <v>20</v>
      </c>
      <c r="E216" s="4" t="s">
        <v>796</v>
      </c>
      <c r="F216" s="3" t="s">
        <v>797</v>
      </c>
      <c r="G216" s="4"/>
      <c r="H216" s="4"/>
      <c r="I216" s="26" t="s">
        <v>41</v>
      </c>
    </row>
    <row r="217" spans="1:9" ht="16.2" customHeight="1" x14ac:dyDescent="0.3">
      <c r="A217" s="3" t="s">
        <v>798</v>
      </c>
      <c r="B217" s="4" t="s">
        <v>779</v>
      </c>
      <c r="C217" s="4" t="s">
        <v>799</v>
      </c>
      <c r="D217" s="6" t="s">
        <v>14</v>
      </c>
      <c r="E217" s="4" t="s">
        <v>779</v>
      </c>
      <c r="F217" s="3" t="s">
        <v>781</v>
      </c>
      <c r="G217" s="4"/>
      <c r="H217" s="4"/>
      <c r="I217" s="26" t="s">
        <v>38</v>
      </c>
    </row>
    <row r="218" spans="1:9" ht="81" customHeight="1" x14ac:dyDescent="0.3">
      <c r="A218" s="3" t="s">
        <v>800</v>
      </c>
      <c r="B218" s="4" t="s">
        <v>264</v>
      </c>
      <c r="C218" s="4" t="s">
        <v>801</v>
      </c>
      <c r="D218" s="6" t="s">
        <v>14</v>
      </c>
      <c r="E218" s="4" t="s">
        <v>264</v>
      </c>
      <c r="F218" s="3" t="s">
        <v>484</v>
      </c>
      <c r="G218" s="4"/>
      <c r="H218" s="4"/>
      <c r="I218" s="26" t="s">
        <v>38</v>
      </c>
    </row>
    <row r="219" spans="1:9" ht="81" customHeight="1" x14ac:dyDescent="0.3">
      <c r="A219" s="3" t="s">
        <v>802</v>
      </c>
      <c r="B219" s="4" t="s">
        <v>264</v>
      </c>
      <c r="C219" s="4" t="s">
        <v>803</v>
      </c>
      <c r="D219" s="6" t="s">
        <v>18</v>
      </c>
      <c r="E219" s="4" t="s">
        <v>264</v>
      </c>
      <c r="F219" s="3" t="s">
        <v>804</v>
      </c>
      <c r="G219" s="4"/>
      <c r="H219" s="4" t="s">
        <v>805</v>
      </c>
      <c r="I219" s="26" t="s">
        <v>41</v>
      </c>
    </row>
    <row r="220" spans="1:9" ht="81" customHeight="1" x14ac:dyDescent="0.3">
      <c r="A220" s="3" t="s">
        <v>806</v>
      </c>
      <c r="B220" s="4" t="s">
        <v>264</v>
      </c>
      <c r="C220" s="4" t="s">
        <v>807</v>
      </c>
      <c r="D220" s="6" t="s">
        <v>18</v>
      </c>
      <c r="E220" s="4" t="s">
        <v>248</v>
      </c>
      <c r="F220" s="3" t="s">
        <v>484</v>
      </c>
      <c r="G220" s="4"/>
      <c r="H220" s="4" t="s">
        <v>808</v>
      </c>
      <c r="I220" s="26" t="s">
        <v>41</v>
      </c>
    </row>
    <row r="221" spans="1:9" ht="48.6" customHeight="1" x14ac:dyDescent="0.3">
      <c r="A221" s="3" t="s">
        <v>809</v>
      </c>
      <c r="B221" s="4" t="s">
        <v>264</v>
      </c>
      <c r="C221" s="4" t="s">
        <v>810</v>
      </c>
      <c r="D221" s="6" t="s">
        <v>18</v>
      </c>
      <c r="E221" s="4" t="s">
        <v>811</v>
      </c>
      <c r="F221" s="3" t="s">
        <v>812</v>
      </c>
      <c r="G221" s="4"/>
      <c r="H221" s="4"/>
      <c r="I221" s="26" t="s">
        <v>41</v>
      </c>
    </row>
    <row r="222" spans="1:9" ht="48.6" customHeight="1" x14ac:dyDescent="0.3">
      <c r="A222" s="3" t="s">
        <v>813</v>
      </c>
      <c r="B222" s="4" t="s">
        <v>264</v>
      </c>
      <c r="C222" s="4" t="s">
        <v>814</v>
      </c>
      <c r="D222" s="6" t="s">
        <v>18</v>
      </c>
      <c r="E222" s="4" t="s">
        <v>614</v>
      </c>
      <c r="F222" s="3" t="s">
        <v>618</v>
      </c>
      <c r="G222" s="4"/>
      <c r="H222" s="4"/>
      <c r="I222" s="26" t="s">
        <v>41</v>
      </c>
    </row>
    <row r="223" spans="1:9" ht="48.6" customHeight="1" x14ac:dyDescent="0.3">
      <c r="A223" s="3" t="s">
        <v>815</v>
      </c>
      <c r="B223" s="4" t="s">
        <v>264</v>
      </c>
      <c r="C223" s="4" t="s">
        <v>816</v>
      </c>
      <c r="D223" s="6" t="s">
        <v>14</v>
      </c>
      <c r="E223" s="4" t="s">
        <v>264</v>
      </c>
      <c r="F223" s="3" t="s">
        <v>484</v>
      </c>
      <c r="G223" s="4"/>
      <c r="H223" s="4"/>
      <c r="I223" s="26" t="s">
        <v>38</v>
      </c>
    </row>
    <row r="224" spans="1:9" ht="97.2" customHeight="1" x14ac:dyDescent="0.3">
      <c r="A224" s="3" t="s">
        <v>817</v>
      </c>
      <c r="B224" s="4" t="s">
        <v>818</v>
      </c>
      <c r="C224" s="4" t="s">
        <v>819</v>
      </c>
      <c r="D224" s="6" t="s">
        <v>14</v>
      </c>
      <c r="E224" s="4" t="s">
        <v>820</v>
      </c>
      <c r="F224" s="3" t="s">
        <v>821</v>
      </c>
      <c r="G224" s="4"/>
      <c r="H224" s="4"/>
      <c r="I224" s="26" t="s">
        <v>38</v>
      </c>
    </row>
    <row r="225" spans="1:9" ht="64.95" customHeight="1" x14ac:dyDescent="0.3">
      <c r="A225" s="3" t="s">
        <v>822</v>
      </c>
      <c r="B225" s="4" t="s">
        <v>818</v>
      </c>
      <c r="C225" s="4" t="s">
        <v>823</v>
      </c>
      <c r="D225" s="6" t="s">
        <v>14</v>
      </c>
      <c r="E225" s="4" t="s">
        <v>824</v>
      </c>
      <c r="F225" s="3" t="s">
        <v>825</v>
      </c>
      <c r="G225" s="4"/>
      <c r="H225" s="4"/>
      <c r="I225" s="26" t="s">
        <v>38</v>
      </c>
    </row>
    <row r="226" spans="1:9" ht="32.4" customHeight="1" x14ac:dyDescent="0.3">
      <c r="A226" s="3" t="s">
        <v>826</v>
      </c>
      <c r="B226" s="4" t="s">
        <v>818</v>
      </c>
      <c r="C226" s="4" t="s">
        <v>827</v>
      </c>
      <c r="D226" s="6" t="s">
        <v>18</v>
      </c>
      <c r="E226" s="4" t="s">
        <v>828</v>
      </c>
      <c r="F226" s="3" t="s">
        <v>825</v>
      </c>
      <c r="G226" s="4"/>
      <c r="H226" s="4" t="s">
        <v>829</v>
      </c>
      <c r="I226" s="26" t="s">
        <v>41</v>
      </c>
    </row>
    <row r="227" spans="1:9" ht="48.6" customHeight="1" x14ac:dyDescent="0.3">
      <c r="A227" s="3" t="s">
        <v>830</v>
      </c>
      <c r="B227" s="4" t="s">
        <v>818</v>
      </c>
      <c r="C227" s="4" t="s">
        <v>831</v>
      </c>
      <c r="D227" s="6" t="s">
        <v>18</v>
      </c>
      <c r="E227" s="4" t="s">
        <v>820</v>
      </c>
      <c r="F227" s="3" t="s">
        <v>825</v>
      </c>
      <c r="G227" s="4"/>
      <c r="H227" s="4" t="s">
        <v>832</v>
      </c>
      <c r="I227" s="26" t="s">
        <v>41</v>
      </c>
    </row>
    <row r="228" spans="1:9" ht="97.2" customHeight="1" x14ac:dyDescent="0.3">
      <c r="A228" s="3" t="s">
        <v>833</v>
      </c>
      <c r="B228" s="4" t="s">
        <v>834</v>
      </c>
      <c r="C228" s="4" t="s">
        <v>835</v>
      </c>
      <c r="D228" s="6" t="s">
        <v>14</v>
      </c>
      <c r="E228" s="4" t="s">
        <v>834</v>
      </c>
      <c r="F228" s="3" t="s">
        <v>836</v>
      </c>
      <c r="G228" s="4"/>
      <c r="H228" s="4"/>
      <c r="I228" s="26" t="s">
        <v>38</v>
      </c>
    </row>
    <row r="229" spans="1:9" ht="64.95" customHeight="1" x14ac:dyDescent="0.3">
      <c r="A229" s="3" t="s">
        <v>837</v>
      </c>
      <c r="B229" s="4" t="s">
        <v>834</v>
      </c>
      <c r="C229" s="4" t="s">
        <v>838</v>
      </c>
      <c r="D229" s="6" t="s">
        <v>14</v>
      </c>
      <c r="E229" s="4" t="s">
        <v>834</v>
      </c>
      <c r="F229" s="3" t="s">
        <v>839</v>
      </c>
      <c r="G229" s="4"/>
      <c r="H229" s="4"/>
      <c r="I229" s="26" t="s">
        <v>38</v>
      </c>
    </row>
    <row r="230" spans="1:9" ht="81" customHeight="1" x14ac:dyDescent="0.3">
      <c r="A230" s="3" t="s">
        <v>840</v>
      </c>
      <c r="B230" s="4" t="s">
        <v>834</v>
      </c>
      <c r="C230" s="4" t="s">
        <v>841</v>
      </c>
      <c r="D230" s="6" t="s">
        <v>18</v>
      </c>
      <c r="E230" s="4" t="s">
        <v>842</v>
      </c>
      <c r="F230" s="3" t="s">
        <v>839</v>
      </c>
      <c r="G230" s="4"/>
      <c r="H230" s="4"/>
      <c r="I230" s="26" t="s">
        <v>41</v>
      </c>
    </row>
    <row r="231" spans="1:9" ht="81" customHeight="1" x14ac:dyDescent="0.3">
      <c r="A231" s="3" t="s">
        <v>843</v>
      </c>
      <c r="B231" s="4" t="s">
        <v>512</v>
      </c>
      <c r="C231" s="4" t="s">
        <v>844</v>
      </c>
      <c r="D231" s="6" t="s">
        <v>14</v>
      </c>
      <c r="E231" s="4" t="s">
        <v>512</v>
      </c>
      <c r="F231" s="3" t="s">
        <v>845</v>
      </c>
      <c r="G231" s="4"/>
      <c r="H231" s="4"/>
      <c r="I231" s="26" t="s">
        <v>38</v>
      </c>
    </row>
    <row r="232" spans="1:9" ht="81" customHeight="1" x14ac:dyDescent="0.3">
      <c r="A232" s="3" t="s">
        <v>846</v>
      </c>
      <c r="B232" s="4" t="s">
        <v>512</v>
      </c>
      <c r="C232" s="4" t="s">
        <v>847</v>
      </c>
      <c r="D232" s="6" t="s">
        <v>14</v>
      </c>
      <c r="E232" s="4" t="s">
        <v>512</v>
      </c>
      <c r="F232" s="3" t="s">
        <v>845</v>
      </c>
      <c r="G232" s="4"/>
      <c r="H232" s="4" t="s">
        <v>848</v>
      </c>
      <c r="I232" s="26" t="s">
        <v>38</v>
      </c>
    </row>
    <row r="233" spans="1:9" ht="48.6" customHeight="1" x14ac:dyDescent="0.3">
      <c r="A233" s="3" t="s">
        <v>849</v>
      </c>
      <c r="B233" s="4" t="s">
        <v>512</v>
      </c>
      <c r="C233" s="4" t="s">
        <v>850</v>
      </c>
      <c r="D233" s="6" t="s">
        <v>14</v>
      </c>
      <c r="E233" s="4" t="s">
        <v>851</v>
      </c>
      <c r="F233" s="3" t="s">
        <v>852</v>
      </c>
      <c r="G233" s="4"/>
      <c r="H233" s="4"/>
      <c r="I233" s="26" t="s">
        <v>38</v>
      </c>
    </row>
    <row r="234" spans="1:9" ht="81" customHeight="1" x14ac:dyDescent="0.3">
      <c r="A234" s="3" t="s">
        <v>853</v>
      </c>
      <c r="B234" s="4" t="s">
        <v>558</v>
      </c>
      <c r="C234" s="4" t="s">
        <v>854</v>
      </c>
      <c r="D234" s="6" t="s">
        <v>14</v>
      </c>
      <c r="E234" s="4" t="s">
        <v>558</v>
      </c>
      <c r="F234" s="3" t="s">
        <v>552</v>
      </c>
      <c r="G234" s="4"/>
      <c r="H234" s="4"/>
      <c r="I234" s="26" t="s">
        <v>38</v>
      </c>
    </row>
    <row r="235" spans="1:9" ht="64.95" customHeight="1" x14ac:dyDescent="0.3">
      <c r="A235" s="3" t="s">
        <v>855</v>
      </c>
      <c r="B235" s="4" t="s">
        <v>558</v>
      </c>
      <c r="C235" s="4" t="s">
        <v>856</v>
      </c>
      <c r="D235" s="6" t="s">
        <v>14</v>
      </c>
      <c r="E235" s="4" t="s">
        <v>857</v>
      </c>
      <c r="F235" s="3" t="s">
        <v>552</v>
      </c>
      <c r="G235" s="4"/>
      <c r="H235" s="4"/>
      <c r="I235" s="26" t="s">
        <v>38</v>
      </c>
    </row>
    <row r="236" spans="1:9" ht="48.6" customHeight="1" x14ac:dyDescent="0.3">
      <c r="A236" s="3" t="s">
        <v>858</v>
      </c>
      <c r="B236" s="4" t="s">
        <v>558</v>
      </c>
      <c r="C236" s="4" t="s">
        <v>859</v>
      </c>
      <c r="D236" s="6" t="s">
        <v>18</v>
      </c>
      <c r="E236" s="4" t="s">
        <v>860</v>
      </c>
      <c r="F236" s="3" t="s">
        <v>861</v>
      </c>
      <c r="G236" s="4"/>
      <c r="H236" s="4" t="s">
        <v>862</v>
      </c>
      <c r="I236" s="26" t="s">
        <v>41</v>
      </c>
    </row>
    <row r="237" spans="1:9" ht="64.95" customHeight="1" x14ac:dyDescent="0.3">
      <c r="A237" s="3" t="s">
        <v>863</v>
      </c>
      <c r="B237" s="4" t="s">
        <v>599</v>
      </c>
      <c r="C237" s="4" t="s">
        <v>864</v>
      </c>
      <c r="D237" s="3" t="s">
        <v>20</v>
      </c>
      <c r="E237" s="4" t="s">
        <v>614</v>
      </c>
      <c r="F237" s="3" t="s">
        <v>865</v>
      </c>
      <c r="G237" s="4"/>
      <c r="H237" s="4"/>
      <c r="I237" s="26" t="s">
        <v>41</v>
      </c>
    </row>
    <row r="238" spans="1:9" ht="81" customHeight="1" x14ac:dyDescent="0.3">
      <c r="A238" s="3" t="s">
        <v>866</v>
      </c>
      <c r="B238" s="4" t="s">
        <v>599</v>
      </c>
      <c r="C238" s="4" t="s">
        <v>867</v>
      </c>
      <c r="D238" s="6" t="s">
        <v>18</v>
      </c>
      <c r="E238" s="4" t="s">
        <v>868</v>
      </c>
      <c r="F238" s="3" t="s">
        <v>869</v>
      </c>
      <c r="G238" s="4"/>
      <c r="H238" s="4"/>
      <c r="I238" s="26" t="s">
        <v>41</v>
      </c>
    </row>
    <row r="239" spans="1:9" ht="81" customHeight="1" x14ac:dyDescent="0.3">
      <c r="A239" s="3" t="s">
        <v>870</v>
      </c>
      <c r="B239" s="4" t="s">
        <v>599</v>
      </c>
      <c r="C239" s="4" t="s">
        <v>871</v>
      </c>
      <c r="D239" s="6" t="s">
        <v>18</v>
      </c>
      <c r="E239" s="4" t="s">
        <v>872</v>
      </c>
      <c r="F239" s="3" t="s">
        <v>618</v>
      </c>
      <c r="G239" s="4"/>
      <c r="H239" s="4"/>
      <c r="I239" s="26" t="s">
        <v>41</v>
      </c>
    </row>
    <row r="240" spans="1:9" ht="81" customHeight="1" x14ac:dyDescent="0.3">
      <c r="A240" s="3" t="s">
        <v>873</v>
      </c>
      <c r="B240" s="4" t="s">
        <v>599</v>
      </c>
      <c r="C240" s="4" t="s">
        <v>874</v>
      </c>
      <c r="D240" s="3" t="s">
        <v>20</v>
      </c>
      <c r="E240" s="4" t="s">
        <v>875</v>
      </c>
      <c r="F240" s="3" t="s">
        <v>876</v>
      </c>
      <c r="G240" s="4"/>
      <c r="H240" s="4"/>
      <c r="I240" s="26" t="s">
        <v>41</v>
      </c>
    </row>
    <row r="241" spans="1:9" ht="81" customHeight="1" x14ac:dyDescent="0.3">
      <c r="A241" s="3" t="s">
        <v>877</v>
      </c>
      <c r="B241" s="4" t="s">
        <v>599</v>
      </c>
      <c r="C241" s="4" t="s">
        <v>878</v>
      </c>
      <c r="D241" s="6" t="s">
        <v>20</v>
      </c>
      <c r="E241" s="4" t="s">
        <v>879</v>
      </c>
      <c r="F241" s="3" t="s">
        <v>880</v>
      </c>
      <c r="G241" s="4"/>
      <c r="H241" s="4"/>
      <c r="I241" s="26" t="s">
        <v>41</v>
      </c>
    </row>
    <row r="242" spans="1:9" ht="64.95" customHeight="1" x14ac:dyDescent="0.3">
      <c r="A242" s="3" t="s">
        <v>881</v>
      </c>
      <c r="B242" s="4" t="s">
        <v>599</v>
      </c>
      <c r="C242" s="4" t="s">
        <v>882</v>
      </c>
      <c r="D242" s="6" t="s">
        <v>22</v>
      </c>
      <c r="E242" s="4" t="s">
        <v>641</v>
      </c>
      <c r="F242" s="3" t="s">
        <v>174</v>
      </c>
      <c r="G242" s="4"/>
      <c r="H242" s="4"/>
      <c r="I242" s="26" t="s">
        <v>41</v>
      </c>
    </row>
    <row r="243" spans="1:9" ht="81" customHeight="1" x14ac:dyDescent="0.3">
      <c r="A243" s="3" t="s">
        <v>883</v>
      </c>
      <c r="B243" s="4" t="s">
        <v>884</v>
      </c>
      <c r="C243" s="4" t="s">
        <v>885</v>
      </c>
      <c r="D243" s="6" t="s">
        <v>14</v>
      </c>
      <c r="E243" s="4" t="s">
        <v>641</v>
      </c>
      <c r="F243" s="3" t="s">
        <v>174</v>
      </c>
      <c r="G243" s="4"/>
      <c r="H243" s="4"/>
      <c r="I243" s="26" t="s">
        <v>38</v>
      </c>
    </row>
    <row r="244" spans="1:9" ht="64.95" customHeight="1" x14ac:dyDescent="0.3">
      <c r="A244" s="3" t="s">
        <v>886</v>
      </c>
      <c r="B244" s="4" t="s">
        <v>884</v>
      </c>
      <c r="C244" s="4" t="s">
        <v>887</v>
      </c>
      <c r="D244" s="6" t="s">
        <v>22</v>
      </c>
      <c r="E244" s="4" t="s">
        <v>641</v>
      </c>
      <c r="F244" s="3" t="s">
        <v>174</v>
      </c>
      <c r="G244" s="4"/>
      <c r="H244" s="4"/>
      <c r="I244" s="26" t="s">
        <v>41</v>
      </c>
    </row>
    <row r="245" spans="1:9" ht="81" customHeight="1" x14ac:dyDescent="0.3">
      <c r="A245" s="3" t="s">
        <v>888</v>
      </c>
      <c r="B245" s="4" t="s">
        <v>884</v>
      </c>
      <c r="C245" s="4" t="s">
        <v>889</v>
      </c>
      <c r="D245" s="6" t="s">
        <v>22</v>
      </c>
      <c r="E245" s="4" t="s">
        <v>641</v>
      </c>
      <c r="F245" s="3" t="s">
        <v>174</v>
      </c>
      <c r="G245" s="4"/>
      <c r="H245" s="4"/>
      <c r="I245" s="26" t="s">
        <v>41</v>
      </c>
    </row>
    <row r="246" spans="1:9" ht="64.95" customHeight="1" x14ac:dyDescent="0.3">
      <c r="A246" s="3" t="s">
        <v>890</v>
      </c>
      <c r="B246" s="4" t="s">
        <v>891</v>
      </c>
      <c r="C246" s="4" t="s">
        <v>892</v>
      </c>
      <c r="D246" s="6" t="s">
        <v>14</v>
      </c>
      <c r="E246" s="4" t="s">
        <v>893</v>
      </c>
      <c r="F246" s="3" t="s">
        <v>894</v>
      </c>
      <c r="G246" s="4"/>
      <c r="H246" s="4"/>
      <c r="I246" s="26" t="s">
        <v>38</v>
      </c>
    </row>
    <row r="247" spans="1:9" ht="48.6" customHeight="1" x14ac:dyDescent="0.3">
      <c r="A247" s="3" t="s">
        <v>895</v>
      </c>
      <c r="B247" s="4" t="s">
        <v>891</v>
      </c>
      <c r="C247" s="4" t="s">
        <v>896</v>
      </c>
      <c r="D247" s="6" t="s">
        <v>14</v>
      </c>
      <c r="E247" s="4" t="s">
        <v>641</v>
      </c>
      <c r="F247" s="3" t="s">
        <v>174</v>
      </c>
      <c r="G247" s="4"/>
      <c r="H247" s="4"/>
      <c r="I247" s="26" t="s">
        <v>38</v>
      </c>
    </row>
    <row r="248" spans="1:9" ht="64.95" customHeight="1" x14ac:dyDescent="0.3">
      <c r="A248" s="3" t="s">
        <v>897</v>
      </c>
      <c r="B248" s="4" t="s">
        <v>891</v>
      </c>
      <c r="C248" s="4" t="s">
        <v>898</v>
      </c>
      <c r="D248" s="6" t="s">
        <v>14</v>
      </c>
      <c r="E248" s="4" t="s">
        <v>899</v>
      </c>
      <c r="F248" s="3" t="s">
        <v>578</v>
      </c>
      <c r="G248" s="4"/>
      <c r="H248" s="4"/>
      <c r="I248" s="26" t="s">
        <v>38</v>
      </c>
    </row>
    <row r="249" spans="1:9" ht="97.2" customHeight="1" x14ac:dyDescent="0.3">
      <c r="A249" s="3" t="s">
        <v>900</v>
      </c>
      <c r="B249" s="4" t="s">
        <v>901</v>
      </c>
      <c r="C249" s="4" t="s">
        <v>902</v>
      </c>
      <c r="D249" s="6" t="s">
        <v>14</v>
      </c>
      <c r="E249" s="4" t="s">
        <v>903</v>
      </c>
      <c r="F249" s="3" t="s">
        <v>109</v>
      </c>
      <c r="G249" s="4"/>
      <c r="H249" s="4"/>
      <c r="I249" s="26" t="s">
        <v>38</v>
      </c>
    </row>
    <row r="250" spans="1:9" ht="48.6" customHeight="1" x14ac:dyDescent="0.3">
      <c r="A250" s="3" t="s">
        <v>904</v>
      </c>
      <c r="B250" s="4" t="s">
        <v>901</v>
      </c>
      <c r="C250" s="4" t="s">
        <v>905</v>
      </c>
      <c r="D250" s="6" t="s">
        <v>20</v>
      </c>
      <c r="E250" s="4" t="s">
        <v>264</v>
      </c>
      <c r="F250" s="3" t="s">
        <v>906</v>
      </c>
      <c r="G250" s="4"/>
      <c r="H250" s="4"/>
      <c r="I250" s="26" t="s">
        <v>41</v>
      </c>
    </row>
    <row r="251" spans="1:9" ht="48.6" customHeight="1" x14ac:dyDescent="0.3">
      <c r="A251" s="3" t="s">
        <v>907</v>
      </c>
      <c r="B251" s="4" t="s">
        <v>901</v>
      </c>
      <c r="C251" s="4" t="s">
        <v>908</v>
      </c>
      <c r="D251" s="6" t="s">
        <v>18</v>
      </c>
      <c r="E251" s="4" t="s">
        <v>909</v>
      </c>
      <c r="F251" s="3" t="s">
        <v>910</v>
      </c>
      <c r="G251" s="4"/>
      <c r="H251" s="4" t="s">
        <v>911</v>
      </c>
      <c r="I251" s="26" t="s">
        <v>41</v>
      </c>
    </row>
    <row r="252" spans="1:9" ht="48.6" customHeight="1" x14ac:dyDescent="0.3">
      <c r="A252" s="3" t="s">
        <v>912</v>
      </c>
      <c r="B252" s="4" t="s">
        <v>913</v>
      </c>
      <c r="C252" s="4" t="s">
        <v>914</v>
      </c>
      <c r="D252" s="6" t="s">
        <v>14</v>
      </c>
      <c r="E252" s="4" t="s">
        <v>915</v>
      </c>
      <c r="F252" s="3" t="s">
        <v>916</v>
      </c>
      <c r="G252" s="4"/>
      <c r="H252" s="4" t="s">
        <v>917</v>
      </c>
      <c r="I252" s="26" t="s">
        <v>38</v>
      </c>
    </row>
    <row r="253" spans="1:9" ht="97.2" customHeight="1" x14ac:dyDescent="0.3">
      <c r="A253" s="3" t="s">
        <v>918</v>
      </c>
      <c r="B253" s="4" t="s">
        <v>913</v>
      </c>
      <c r="C253" s="4" t="s">
        <v>919</v>
      </c>
      <c r="D253" s="6" t="s">
        <v>20</v>
      </c>
      <c r="E253" s="4" t="s">
        <v>920</v>
      </c>
      <c r="F253" s="3" t="s">
        <v>921</v>
      </c>
      <c r="G253" s="4"/>
      <c r="H253" s="4"/>
      <c r="I253" s="26" t="s">
        <v>41</v>
      </c>
    </row>
    <row r="254" spans="1:9" ht="64.95" customHeight="1" x14ac:dyDescent="0.3">
      <c r="A254" s="3" t="s">
        <v>922</v>
      </c>
      <c r="B254" s="4" t="s">
        <v>913</v>
      </c>
      <c r="C254" s="4" t="s">
        <v>923</v>
      </c>
      <c r="D254" s="6" t="s">
        <v>18</v>
      </c>
      <c r="E254" s="4" t="s">
        <v>920</v>
      </c>
      <c r="F254" s="3" t="s">
        <v>921</v>
      </c>
      <c r="G254" s="4"/>
      <c r="H254" s="4"/>
      <c r="I254" s="26" t="s">
        <v>41</v>
      </c>
    </row>
    <row r="255" spans="1:9" ht="81" customHeight="1" x14ac:dyDescent="0.3">
      <c r="A255" s="3" t="s">
        <v>924</v>
      </c>
      <c r="B255" s="4" t="s">
        <v>925</v>
      </c>
      <c r="C255" s="4" t="s">
        <v>926</v>
      </c>
      <c r="D255" s="6" t="s">
        <v>18</v>
      </c>
      <c r="E255" s="4" t="s">
        <v>927</v>
      </c>
      <c r="F255" s="3" t="s">
        <v>906</v>
      </c>
      <c r="G255" s="4"/>
      <c r="H255" s="4"/>
      <c r="I255" s="26" t="s">
        <v>41</v>
      </c>
    </row>
    <row r="256" spans="1:9" ht="64.95" customHeight="1" x14ac:dyDescent="0.3">
      <c r="A256" s="3" t="s">
        <v>928</v>
      </c>
      <c r="B256" s="4" t="s">
        <v>929</v>
      </c>
      <c r="C256" s="4" t="s">
        <v>930</v>
      </c>
      <c r="D256" s="6" t="s">
        <v>18</v>
      </c>
      <c r="E256" s="4" t="s">
        <v>931</v>
      </c>
      <c r="F256" s="3" t="s">
        <v>932</v>
      </c>
      <c r="G256" s="4"/>
      <c r="H256" s="4"/>
      <c r="I256" s="26" t="s">
        <v>41</v>
      </c>
    </row>
    <row r="257" spans="1:9" ht="64.95" customHeight="1" x14ac:dyDescent="0.3">
      <c r="A257" s="3" t="s">
        <v>933</v>
      </c>
      <c r="B257" s="4" t="s">
        <v>929</v>
      </c>
      <c r="C257" s="4" t="s">
        <v>934</v>
      </c>
      <c r="D257" s="6" t="s">
        <v>20</v>
      </c>
      <c r="E257" s="4" t="s">
        <v>931</v>
      </c>
      <c r="F257" s="3" t="s">
        <v>935</v>
      </c>
      <c r="G257" s="4"/>
      <c r="H257" s="4"/>
      <c r="I257" s="26" t="s">
        <v>41</v>
      </c>
    </row>
    <row r="258" spans="1:9" ht="48.6" customHeight="1" x14ac:dyDescent="0.3">
      <c r="A258" s="3" t="s">
        <v>936</v>
      </c>
      <c r="B258" s="4" t="s">
        <v>929</v>
      </c>
      <c r="C258" s="4" t="s">
        <v>937</v>
      </c>
      <c r="D258" s="6" t="s">
        <v>14</v>
      </c>
      <c r="E258" s="4" t="s">
        <v>938</v>
      </c>
      <c r="F258" s="3" t="s">
        <v>906</v>
      </c>
      <c r="G258" s="4"/>
      <c r="H258" s="4"/>
      <c r="I258" s="26" t="s">
        <v>38</v>
      </c>
    </row>
    <row r="259" spans="1:9" ht="64.95" customHeight="1" x14ac:dyDescent="0.3">
      <c r="A259" s="3" t="s">
        <v>939</v>
      </c>
      <c r="B259" s="4" t="s">
        <v>929</v>
      </c>
      <c r="C259" s="4" t="s">
        <v>940</v>
      </c>
      <c r="D259" s="6" t="s">
        <v>18</v>
      </c>
      <c r="E259" s="48" t="s">
        <v>941</v>
      </c>
      <c r="F259" s="3" t="s">
        <v>942</v>
      </c>
      <c r="G259" s="4"/>
      <c r="H259" s="4" t="s">
        <v>943</v>
      </c>
      <c r="I259" s="27" t="s">
        <v>41</v>
      </c>
    </row>
    <row r="260" spans="1:9" ht="64.95" customHeight="1" x14ac:dyDescent="0.3">
      <c r="A260" s="3" t="s">
        <v>944</v>
      </c>
      <c r="B260" s="4" t="s">
        <v>945</v>
      </c>
      <c r="C260" s="4" t="s">
        <v>946</v>
      </c>
      <c r="D260" s="6" t="s">
        <v>18</v>
      </c>
      <c r="E260" s="4" t="s">
        <v>744</v>
      </c>
      <c r="F260" s="3" t="s">
        <v>164</v>
      </c>
      <c r="G260" s="4"/>
      <c r="H260" s="4"/>
      <c r="I260" s="27" t="s">
        <v>41</v>
      </c>
    </row>
    <row r="261" spans="1:9" ht="97.2" customHeight="1" x14ac:dyDescent="0.3">
      <c r="A261" s="3" t="s">
        <v>947</v>
      </c>
      <c r="B261" s="4" t="s">
        <v>945</v>
      </c>
      <c r="C261" s="4" t="s">
        <v>948</v>
      </c>
      <c r="D261" s="6" t="s">
        <v>14</v>
      </c>
      <c r="E261" s="4" t="s">
        <v>949</v>
      </c>
      <c r="F261" s="3" t="s">
        <v>950</v>
      </c>
      <c r="G261" s="4"/>
      <c r="H261" s="4"/>
      <c r="I261" s="26" t="s">
        <v>38</v>
      </c>
    </row>
    <row r="262" spans="1:9" ht="113.4" customHeight="1" x14ac:dyDescent="0.3">
      <c r="A262" s="3" t="s">
        <v>951</v>
      </c>
      <c r="B262" s="4" t="s">
        <v>952</v>
      </c>
      <c r="C262" s="4" t="s">
        <v>953</v>
      </c>
      <c r="D262" s="6" t="s">
        <v>14</v>
      </c>
      <c r="E262" s="4" t="s">
        <v>954</v>
      </c>
      <c r="F262" s="3" t="s">
        <v>955</v>
      </c>
      <c r="G262" s="4"/>
      <c r="H262" s="4"/>
      <c r="I262" s="26" t="s">
        <v>38</v>
      </c>
    </row>
    <row r="263" spans="1:9" ht="48.6" customHeight="1" x14ac:dyDescent="0.3">
      <c r="A263" s="3" t="s">
        <v>956</v>
      </c>
      <c r="B263" s="4" t="s">
        <v>952</v>
      </c>
      <c r="C263" s="4" t="s">
        <v>957</v>
      </c>
      <c r="D263" s="6" t="s">
        <v>14</v>
      </c>
      <c r="E263" s="4" t="s">
        <v>958</v>
      </c>
      <c r="F263" s="3" t="s">
        <v>484</v>
      </c>
      <c r="G263" s="4"/>
      <c r="H263" s="4" t="s">
        <v>959</v>
      </c>
      <c r="I263" s="26" t="s">
        <v>38</v>
      </c>
    </row>
    <row r="264" spans="1:9" ht="81" customHeight="1" x14ac:dyDescent="0.3">
      <c r="A264" s="3" t="s">
        <v>960</v>
      </c>
      <c r="B264" s="4" t="s">
        <v>961</v>
      </c>
      <c r="C264" s="4" t="s">
        <v>962</v>
      </c>
      <c r="D264" s="6" t="s">
        <v>18</v>
      </c>
      <c r="E264" s="4" t="s">
        <v>963</v>
      </c>
      <c r="F264" s="3" t="s">
        <v>964</v>
      </c>
      <c r="G264" s="4"/>
      <c r="H264" s="4"/>
      <c r="I264" s="27" t="s">
        <v>41</v>
      </c>
    </row>
    <row r="265" spans="1:9" ht="64.95" customHeight="1" x14ac:dyDescent="0.3">
      <c r="A265" s="3" t="s">
        <v>965</v>
      </c>
      <c r="B265" s="4" t="s">
        <v>961</v>
      </c>
      <c r="C265" s="4" t="s">
        <v>966</v>
      </c>
      <c r="D265" s="6" t="s">
        <v>18</v>
      </c>
      <c r="E265" s="4" t="s">
        <v>963</v>
      </c>
      <c r="F265" s="3" t="s">
        <v>964</v>
      </c>
      <c r="G265" s="4"/>
      <c r="H265" s="4"/>
      <c r="I265" s="27" t="s">
        <v>41</v>
      </c>
    </row>
    <row r="266" spans="1:9" ht="48.6" customHeight="1" x14ac:dyDescent="0.3">
      <c r="A266" s="3" t="s">
        <v>967</v>
      </c>
      <c r="B266" s="4" t="s">
        <v>961</v>
      </c>
      <c r="C266" s="4" t="s">
        <v>968</v>
      </c>
      <c r="D266" s="6" t="s">
        <v>22</v>
      </c>
      <c r="E266" s="4" t="s">
        <v>893</v>
      </c>
      <c r="F266" s="3" t="s">
        <v>869</v>
      </c>
      <c r="G266" s="4"/>
      <c r="H266" s="4"/>
      <c r="I266" s="27" t="s">
        <v>41</v>
      </c>
    </row>
    <row r="267" spans="1:9" ht="81" customHeight="1" x14ac:dyDescent="0.3">
      <c r="A267" s="3" t="s">
        <v>969</v>
      </c>
      <c r="B267" s="4" t="s">
        <v>599</v>
      </c>
      <c r="C267" s="4" t="s">
        <v>970</v>
      </c>
      <c r="D267" s="6" t="s">
        <v>20</v>
      </c>
      <c r="E267" s="4" t="s">
        <v>893</v>
      </c>
      <c r="F267" s="3" t="s">
        <v>971</v>
      </c>
      <c r="G267" s="4"/>
      <c r="H267" s="4"/>
      <c r="I267" s="27" t="s">
        <v>41</v>
      </c>
    </row>
    <row r="268" spans="1:9" ht="81" customHeight="1" x14ac:dyDescent="0.3">
      <c r="A268" s="3" t="s">
        <v>972</v>
      </c>
      <c r="B268" s="4" t="s">
        <v>599</v>
      </c>
      <c r="C268" s="4" t="s">
        <v>973</v>
      </c>
      <c r="D268" s="6" t="s">
        <v>20</v>
      </c>
      <c r="E268" s="4" t="s">
        <v>641</v>
      </c>
      <c r="F268" s="3" t="s">
        <v>174</v>
      </c>
      <c r="G268" s="4"/>
      <c r="H268" s="4"/>
      <c r="I268" s="27" t="s">
        <v>41</v>
      </c>
    </row>
    <row r="269" spans="1:9" ht="64.95" customHeight="1" x14ac:dyDescent="0.3">
      <c r="A269" s="3" t="s">
        <v>974</v>
      </c>
      <c r="B269" s="4" t="s">
        <v>599</v>
      </c>
      <c r="C269" s="4" t="s">
        <v>975</v>
      </c>
      <c r="D269" s="6" t="s">
        <v>20</v>
      </c>
      <c r="E269" s="4" t="s">
        <v>641</v>
      </c>
      <c r="F269" s="3" t="s">
        <v>976</v>
      </c>
      <c r="G269" s="4"/>
      <c r="H269" s="4"/>
      <c r="I269" s="27" t="s">
        <v>41</v>
      </c>
    </row>
    <row r="270" spans="1:9" ht="64.95" customHeight="1" x14ac:dyDescent="0.3">
      <c r="A270" s="3" t="s">
        <v>977</v>
      </c>
      <c r="B270" s="4" t="s">
        <v>599</v>
      </c>
      <c r="C270" s="4" t="s">
        <v>978</v>
      </c>
      <c r="D270" s="6" t="s">
        <v>18</v>
      </c>
      <c r="E270" s="4" t="s">
        <v>979</v>
      </c>
      <c r="F270" s="3" t="s">
        <v>454</v>
      </c>
      <c r="G270" s="4"/>
      <c r="H270" s="4"/>
      <c r="I270" s="27" t="s">
        <v>41</v>
      </c>
    </row>
    <row r="271" spans="1:9" ht="64.95" customHeight="1" x14ac:dyDescent="0.3">
      <c r="A271" s="34" t="s">
        <v>980</v>
      </c>
      <c r="B271" s="35" t="s">
        <v>981</v>
      </c>
      <c r="C271" s="35" t="s">
        <v>982</v>
      </c>
      <c r="D271" s="36" t="s">
        <v>14</v>
      </c>
      <c r="E271" s="35" t="s">
        <v>641</v>
      </c>
      <c r="F271" s="34" t="s">
        <v>174</v>
      </c>
      <c r="G271" s="35"/>
      <c r="H271" s="4" t="s">
        <v>983</v>
      </c>
      <c r="I271" s="37" t="s">
        <v>38</v>
      </c>
    </row>
    <row r="272" spans="1:9" ht="48.6" customHeight="1" x14ac:dyDescent="0.3">
      <c r="A272" s="34" t="s">
        <v>984</v>
      </c>
      <c r="B272" s="35" t="s">
        <v>981</v>
      </c>
      <c r="C272" s="35" t="s">
        <v>985</v>
      </c>
      <c r="D272" s="36" t="s">
        <v>14</v>
      </c>
      <c r="E272" s="35" t="s">
        <v>986</v>
      </c>
      <c r="F272" s="34" t="s">
        <v>589</v>
      </c>
      <c r="G272" s="35"/>
      <c r="H272" s="4"/>
      <c r="I272" s="37" t="s">
        <v>38</v>
      </c>
    </row>
    <row r="273" spans="1:9" ht="64.95" customHeight="1" x14ac:dyDescent="0.3">
      <c r="A273" s="34" t="s">
        <v>987</v>
      </c>
      <c r="B273" s="35" t="s">
        <v>981</v>
      </c>
      <c r="C273" s="35" t="s">
        <v>988</v>
      </c>
      <c r="D273" s="38" t="s">
        <v>18</v>
      </c>
      <c r="E273" s="35" t="s">
        <v>641</v>
      </c>
      <c r="F273" s="34" t="s">
        <v>989</v>
      </c>
      <c r="G273" s="35"/>
      <c r="H273" s="4"/>
      <c r="I273" s="39" t="s">
        <v>41</v>
      </c>
    </row>
    <row r="274" spans="1:9" ht="64.95" customHeight="1" x14ac:dyDescent="0.3">
      <c r="A274" s="34" t="s">
        <v>990</v>
      </c>
      <c r="B274" s="35" t="s">
        <v>981</v>
      </c>
      <c r="C274" s="35" t="s">
        <v>991</v>
      </c>
      <c r="D274" s="40" t="s">
        <v>20</v>
      </c>
      <c r="E274" s="35" t="s">
        <v>992</v>
      </c>
      <c r="F274" s="34" t="s">
        <v>993</v>
      </c>
      <c r="G274" s="35"/>
      <c r="H274" s="4" t="s">
        <v>994</v>
      </c>
      <c r="I274" s="39" t="s">
        <v>41</v>
      </c>
    </row>
    <row r="275" spans="1:9" ht="32.4" customHeight="1" x14ac:dyDescent="0.3">
      <c r="A275" s="34" t="s">
        <v>995</v>
      </c>
      <c r="B275" s="35" t="s">
        <v>996</v>
      </c>
      <c r="C275" s="35" t="s">
        <v>997</v>
      </c>
      <c r="D275" s="36" t="s">
        <v>14</v>
      </c>
      <c r="E275" s="35" t="s">
        <v>56</v>
      </c>
      <c r="F275" s="34" t="s">
        <v>480</v>
      </c>
      <c r="G275" s="35"/>
      <c r="H275" s="4"/>
      <c r="I275" s="37" t="s">
        <v>38</v>
      </c>
    </row>
    <row r="276" spans="1:9" ht="64.95" customHeight="1" x14ac:dyDescent="0.3">
      <c r="A276" s="34" t="s">
        <v>998</v>
      </c>
      <c r="B276" s="35" t="s">
        <v>996</v>
      </c>
      <c r="C276" s="35" t="s">
        <v>999</v>
      </c>
      <c r="D276" s="38" t="s">
        <v>20</v>
      </c>
      <c r="E276" s="35" t="s">
        <v>641</v>
      </c>
      <c r="F276" s="34" t="s">
        <v>174</v>
      </c>
      <c r="G276" s="35"/>
      <c r="H276" s="4" t="s">
        <v>1000</v>
      </c>
      <c r="I276" s="39" t="s">
        <v>41</v>
      </c>
    </row>
    <row r="277" spans="1:9" ht="48.6" customHeight="1" x14ac:dyDescent="0.3">
      <c r="A277" s="34" t="s">
        <v>1001</v>
      </c>
      <c r="B277" s="35" t="s">
        <v>1002</v>
      </c>
      <c r="C277" s="35" t="s">
        <v>1003</v>
      </c>
      <c r="D277" s="40" t="s">
        <v>20</v>
      </c>
      <c r="E277" s="35" t="s">
        <v>1004</v>
      </c>
      <c r="F277" s="34" t="s">
        <v>1005</v>
      </c>
      <c r="G277" s="35"/>
      <c r="H277" s="4"/>
      <c r="I277" s="39" t="s">
        <v>41</v>
      </c>
    </row>
    <row r="278" spans="1:9" ht="32.4" customHeight="1" x14ac:dyDescent="0.3">
      <c r="A278" s="34" t="s">
        <v>1006</v>
      </c>
      <c r="B278" s="35" t="s">
        <v>1002</v>
      </c>
      <c r="C278" s="35" t="s">
        <v>1007</v>
      </c>
      <c r="D278" s="38" t="s">
        <v>18</v>
      </c>
      <c r="E278" s="35" t="s">
        <v>641</v>
      </c>
      <c r="F278" s="34" t="s">
        <v>1008</v>
      </c>
      <c r="G278" s="35"/>
      <c r="H278" s="4"/>
      <c r="I278" s="39" t="s">
        <v>41</v>
      </c>
    </row>
    <row r="279" spans="1:9" ht="48.6" customHeight="1" x14ac:dyDescent="0.3">
      <c r="A279" s="34" t="s">
        <v>1009</v>
      </c>
      <c r="B279" s="35" t="s">
        <v>1010</v>
      </c>
      <c r="C279" s="35" t="s">
        <v>1011</v>
      </c>
      <c r="D279" s="38" t="s">
        <v>18</v>
      </c>
      <c r="E279" s="35" t="s">
        <v>374</v>
      </c>
      <c r="F279" s="34" t="s">
        <v>1012</v>
      </c>
      <c r="G279" s="35"/>
      <c r="H279" s="4"/>
      <c r="I279" s="39" t="s">
        <v>41</v>
      </c>
    </row>
    <row r="280" spans="1:9" ht="48.6" customHeight="1" x14ac:dyDescent="0.3">
      <c r="A280" s="34" t="s">
        <v>1013</v>
      </c>
      <c r="B280" s="35" t="s">
        <v>1010</v>
      </c>
      <c r="C280" s="35" t="s">
        <v>1014</v>
      </c>
      <c r="D280" s="38" t="s">
        <v>18</v>
      </c>
      <c r="E280" s="35" t="s">
        <v>374</v>
      </c>
      <c r="F280" s="34" t="s">
        <v>1015</v>
      </c>
      <c r="G280" s="35"/>
      <c r="H280" s="4" t="s">
        <v>1016</v>
      </c>
      <c r="I280" s="39" t="s">
        <v>41</v>
      </c>
    </row>
    <row r="281" spans="1:9" ht="32.4" customHeight="1" x14ac:dyDescent="0.3">
      <c r="A281" s="34" t="s">
        <v>1017</v>
      </c>
      <c r="B281" s="35" t="s">
        <v>1010</v>
      </c>
      <c r="C281" s="35" t="s">
        <v>1018</v>
      </c>
      <c r="D281" s="36" t="s">
        <v>18</v>
      </c>
      <c r="E281" s="35" t="s">
        <v>1019</v>
      </c>
      <c r="F281" s="34" t="s">
        <v>1020</v>
      </c>
      <c r="G281" s="35"/>
      <c r="H281" s="4" t="s">
        <v>1021</v>
      </c>
      <c r="I281" s="39" t="s">
        <v>41</v>
      </c>
    </row>
    <row r="282" spans="1:9" ht="48.6" customHeight="1" x14ac:dyDescent="0.3">
      <c r="A282" s="34" t="s">
        <v>1022</v>
      </c>
      <c r="B282" s="35" t="s">
        <v>599</v>
      </c>
      <c r="C282" s="35" t="s">
        <v>1023</v>
      </c>
      <c r="D282" s="41" t="s">
        <v>22</v>
      </c>
      <c r="E282" s="35" t="s">
        <v>641</v>
      </c>
      <c r="F282" s="34" t="s">
        <v>174</v>
      </c>
      <c r="G282" s="35"/>
      <c r="H282" s="4"/>
      <c r="I282" s="39" t="s">
        <v>41</v>
      </c>
    </row>
    <row r="283" spans="1:9" ht="32.4" customHeight="1" x14ac:dyDescent="0.3">
      <c r="A283" s="34" t="s">
        <v>1024</v>
      </c>
      <c r="B283" s="35" t="s">
        <v>599</v>
      </c>
      <c r="C283" s="35" t="s">
        <v>1025</v>
      </c>
      <c r="D283" s="41" t="s">
        <v>22</v>
      </c>
      <c r="E283" s="35" t="s">
        <v>641</v>
      </c>
      <c r="F283" s="34" t="s">
        <v>174</v>
      </c>
      <c r="G283" s="35"/>
      <c r="H283" s="4" t="s">
        <v>1026</v>
      </c>
      <c r="I283" s="39" t="s">
        <v>41</v>
      </c>
    </row>
    <row r="284" spans="1:9" ht="32.4" customHeight="1" x14ac:dyDescent="0.3">
      <c r="A284" s="34" t="s">
        <v>1027</v>
      </c>
      <c r="B284" s="35" t="s">
        <v>1028</v>
      </c>
      <c r="C284" s="35" t="s">
        <v>1029</v>
      </c>
      <c r="D284" s="36" t="s">
        <v>14</v>
      </c>
      <c r="E284" s="35" t="s">
        <v>1030</v>
      </c>
      <c r="F284" s="34" t="s">
        <v>578</v>
      </c>
      <c r="G284" s="35"/>
      <c r="H284" s="4" t="s">
        <v>1031</v>
      </c>
      <c r="I284" s="37" t="s">
        <v>38</v>
      </c>
    </row>
    <row r="285" spans="1:9" ht="64.95" customHeight="1" x14ac:dyDescent="0.3">
      <c r="A285" s="34" t="s">
        <v>1032</v>
      </c>
      <c r="B285" s="35" t="s">
        <v>1028</v>
      </c>
      <c r="C285" s="35" t="s">
        <v>1033</v>
      </c>
      <c r="D285" s="40" t="s">
        <v>20</v>
      </c>
      <c r="E285" s="35" t="s">
        <v>1034</v>
      </c>
      <c r="F285" s="34" t="s">
        <v>1035</v>
      </c>
      <c r="G285" s="35"/>
      <c r="H285" s="4" t="s">
        <v>1036</v>
      </c>
      <c r="I285" s="39" t="s">
        <v>41</v>
      </c>
    </row>
    <row r="286" spans="1:9" ht="48.6" customHeight="1" x14ac:dyDescent="0.3">
      <c r="A286" s="34" t="s">
        <v>1037</v>
      </c>
      <c r="B286" s="35" t="s">
        <v>1028</v>
      </c>
      <c r="C286" s="35" t="s">
        <v>1038</v>
      </c>
      <c r="D286" s="38" t="s">
        <v>18</v>
      </c>
      <c r="E286" s="35" t="s">
        <v>1039</v>
      </c>
      <c r="F286" s="34" t="s">
        <v>1040</v>
      </c>
      <c r="G286" s="35"/>
      <c r="H286" s="4"/>
      <c r="I286" s="39" t="s">
        <v>41</v>
      </c>
    </row>
    <row r="287" spans="1:9" ht="48.6" customHeight="1" x14ac:dyDescent="0.3">
      <c r="A287" s="34" t="s">
        <v>1041</v>
      </c>
      <c r="B287" s="35" t="s">
        <v>1028</v>
      </c>
      <c r="C287" s="35" t="s">
        <v>1042</v>
      </c>
      <c r="D287" s="36" t="s">
        <v>14</v>
      </c>
      <c r="E287" s="35" t="s">
        <v>264</v>
      </c>
      <c r="F287" s="34" t="s">
        <v>609</v>
      </c>
      <c r="G287" s="35"/>
      <c r="H287" s="4"/>
      <c r="I287" s="37" t="s">
        <v>38</v>
      </c>
    </row>
    <row r="288" spans="1:9" ht="32.4" customHeight="1" x14ac:dyDescent="0.3">
      <c r="A288" s="34" t="s">
        <v>1043</v>
      </c>
      <c r="B288" s="35" t="s">
        <v>1028</v>
      </c>
      <c r="C288" s="35" t="s">
        <v>1044</v>
      </c>
      <c r="D288" s="36" t="s">
        <v>14</v>
      </c>
      <c r="E288" s="35" t="s">
        <v>1045</v>
      </c>
      <c r="F288" s="34" t="s">
        <v>1046</v>
      </c>
      <c r="G288" s="35"/>
      <c r="H288" s="4"/>
      <c r="I288" s="37" t="s">
        <v>38</v>
      </c>
    </row>
    <row r="289" spans="1:9" ht="64.95" customHeight="1" x14ac:dyDescent="0.3">
      <c r="A289" s="34" t="s">
        <v>1047</v>
      </c>
      <c r="B289" s="35" t="s">
        <v>1048</v>
      </c>
      <c r="C289" s="35" t="s">
        <v>1049</v>
      </c>
      <c r="D289" s="40" t="s">
        <v>20</v>
      </c>
      <c r="E289" s="35" t="s">
        <v>1050</v>
      </c>
      <c r="F289" s="34" t="s">
        <v>578</v>
      </c>
      <c r="G289" s="35"/>
      <c r="H289" s="4"/>
      <c r="I289" s="39" t="s">
        <v>41</v>
      </c>
    </row>
    <row r="290" spans="1:9" ht="32.4" customHeight="1" x14ac:dyDescent="0.3">
      <c r="A290" s="34" t="s">
        <v>1051</v>
      </c>
      <c r="B290" s="35" t="s">
        <v>1048</v>
      </c>
      <c r="C290" s="35" t="s">
        <v>1052</v>
      </c>
      <c r="D290" s="40" t="s">
        <v>20</v>
      </c>
      <c r="E290" s="35" t="s">
        <v>721</v>
      </c>
      <c r="F290" s="34" t="s">
        <v>578</v>
      </c>
      <c r="G290" s="35"/>
      <c r="H290" s="4"/>
      <c r="I290" s="39" t="s">
        <v>41</v>
      </c>
    </row>
    <row r="291" spans="1:9" ht="32.4" customHeight="1" x14ac:dyDescent="0.3">
      <c r="A291" s="34" t="s">
        <v>1053</v>
      </c>
      <c r="B291" s="35" t="s">
        <v>1048</v>
      </c>
      <c r="C291" s="35" t="s">
        <v>1054</v>
      </c>
      <c r="D291" s="38" t="s">
        <v>18</v>
      </c>
      <c r="E291" s="35" t="s">
        <v>1055</v>
      </c>
      <c r="F291" s="34" t="s">
        <v>1056</v>
      </c>
      <c r="G291" s="35"/>
      <c r="H291" s="4"/>
      <c r="I291" s="39" t="s">
        <v>41</v>
      </c>
    </row>
    <row r="292" spans="1:9" ht="48.6" customHeight="1" x14ac:dyDescent="0.3">
      <c r="A292" s="34" t="s">
        <v>1057</v>
      </c>
      <c r="B292" s="35" t="s">
        <v>1048</v>
      </c>
      <c r="C292" s="35" t="s">
        <v>1058</v>
      </c>
      <c r="D292" s="42" t="s">
        <v>16</v>
      </c>
      <c r="E292" s="35" t="s">
        <v>1059</v>
      </c>
      <c r="F292" s="34" t="s">
        <v>1046</v>
      </c>
      <c r="G292" s="35"/>
      <c r="H292" s="4" t="s">
        <v>1060</v>
      </c>
      <c r="I292" s="43" t="s">
        <v>46</v>
      </c>
    </row>
    <row r="293" spans="1:9" ht="48.6" customHeight="1" x14ac:dyDescent="0.3">
      <c r="A293" s="34" t="s">
        <v>1061</v>
      </c>
      <c r="B293" s="35" t="s">
        <v>1048</v>
      </c>
      <c r="C293" s="35" t="s">
        <v>1062</v>
      </c>
      <c r="D293" s="34" t="s">
        <v>18</v>
      </c>
      <c r="E293" s="35" t="s">
        <v>1063</v>
      </c>
      <c r="F293" s="34" t="s">
        <v>609</v>
      </c>
      <c r="G293" s="35"/>
      <c r="H293" s="4"/>
      <c r="I293" s="39" t="s">
        <v>41</v>
      </c>
    </row>
    <row r="294" spans="1:9" ht="32.4" customHeight="1" x14ac:dyDescent="0.3">
      <c r="A294" s="34" t="s">
        <v>1064</v>
      </c>
      <c r="B294" s="35" t="s">
        <v>1048</v>
      </c>
      <c r="C294" s="35" t="s">
        <v>1065</v>
      </c>
      <c r="D294" s="36" t="s">
        <v>14</v>
      </c>
      <c r="E294" s="35" t="s">
        <v>1066</v>
      </c>
      <c r="F294" s="34" t="s">
        <v>117</v>
      </c>
      <c r="G294" s="35"/>
      <c r="H294" s="4"/>
      <c r="I294" s="37" t="s">
        <v>38</v>
      </c>
    </row>
    <row r="295" spans="1:9" ht="48.6" customHeight="1" x14ac:dyDescent="0.3">
      <c r="A295" s="34" t="s">
        <v>1067</v>
      </c>
      <c r="B295" s="35" t="s">
        <v>1068</v>
      </c>
      <c r="C295" s="35" t="s">
        <v>1069</v>
      </c>
      <c r="D295" s="38" t="s">
        <v>18</v>
      </c>
      <c r="E295" s="35" t="s">
        <v>641</v>
      </c>
      <c r="F295" s="34" t="s">
        <v>1070</v>
      </c>
      <c r="G295" s="35"/>
      <c r="H295" s="4"/>
      <c r="I295" s="39" t="s">
        <v>41</v>
      </c>
    </row>
    <row r="296" spans="1:9" ht="48.6" customHeight="1" x14ac:dyDescent="0.3">
      <c r="A296" s="34" t="s">
        <v>1071</v>
      </c>
      <c r="B296" s="35" t="s">
        <v>1068</v>
      </c>
      <c r="C296" s="35" t="s">
        <v>1072</v>
      </c>
      <c r="D296" s="36" t="s">
        <v>14</v>
      </c>
      <c r="E296" s="35" t="s">
        <v>1073</v>
      </c>
      <c r="F296" s="34" t="s">
        <v>1074</v>
      </c>
      <c r="G296" s="35"/>
      <c r="H296" s="4" t="s">
        <v>1075</v>
      </c>
      <c r="I296" s="37" t="s">
        <v>38</v>
      </c>
    </row>
    <row r="297" spans="1:9" ht="48.6" customHeight="1" x14ac:dyDescent="0.3">
      <c r="A297" s="34" t="s">
        <v>1076</v>
      </c>
      <c r="B297" s="35" t="s">
        <v>1068</v>
      </c>
      <c r="C297" s="35" t="s">
        <v>1077</v>
      </c>
      <c r="D297" s="40" t="s">
        <v>20</v>
      </c>
      <c r="E297" s="35" t="s">
        <v>1078</v>
      </c>
      <c r="F297" s="34" t="s">
        <v>185</v>
      </c>
      <c r="G297" s="35"/>
      <c r="H297" s="4" t="s">
        <v>1079</v>
      </c>
      <c r="I297" s="39" t="s">
        <v>41</v>
      </c>
    </row>
    <row r="298" spans="1:9" ht="32.4" customHeight="1" x14ac:dyDescent="0.3">
      <c r="A298" s="34" t="s">
        <v>1080</v>
      </c>
      <c r="B298" s="35" t="s">
        <v>1081</v>
      </c>
      <c r="C298" s="35" t="s">
        <v>1082</v>
      </c>
      <c r="D298" s="38" t="s">
        <v>18</v>
      </c>
      <c r="E298" s="35" t="s">
        <v>1083</v>
      </c>
      <c r="F298" s="34" t="s">
        <v>717</v>
      </c>
      <c r="G298" s="35"/>
      <c r="H298" s="4"/>
      <c r="I298" s="39" t="s">
        <v>41</v>
      </c>
    </row>
    <row r="299" spans="1:9" ht="32.4" customHeight="1" x14ac:dyDescent="0.3">
      <c r="A299" s="34" t="s">
        <v>1084</v>
      </c>
      <c r="B299" s="35" t="s">
        <v>1081</v>
      </c>
      <c r="C299" s="35" t="s">
        <v>1085</v>
      </c>
      <c r="D299" s="38" t="s">
        <v>18</v>
      </c>
      <c r="E299" s="35" t="s">
        <v>374</v>
      </c>
      <c r="F299" s="34" t="s">
        <v>880</v>
      </c>
      <c r="G299" s="35"/>
      <c r="H299" s="4"/>
      <c r="I299" s="39" t="s">
        <v>41</v>
      </c>
    </row>
    <row r="300" spans="1:9" ht="48.6" customHeight="1" x14ac:dyDescent="0.3">
      <c r="A300" s="34" t="s">
        <v>1086</v>
      </c>
      <c r="B300" s="35" t="s">
        <v>1081</v>
      </c>
      <c r="C300" s="35" t="s">
        <v>1087</v>
      </c>
      <c r="D300" s="36" t="s">
        <v>14</v>
      </c>
      <c r="E300" s="35" t="s">
        <v>641</v>
      </c>
      <c r="F300" s="34" t="s">
        <v>1088</v>
      </c>
      <c r="G300" s="35"/>
      <c r="H300" s="4"/>
      <c r="I300" s="37" t="s">
        <v>38</v>
      </c>
    </row>
    <row r="301" spans="1:9" ht="64.95" customHeight="1" x14ac:dyDescent="0.3">
      <c r="A301" s="34" t="s">
        <v>1089</v>
      </c>
      <c r="B301" s="35" t="s">
        <v>1081</v>
      </c>
      <c r="C301" s="35" t="s">
        <v>1090</v>
      </c>
      <c r="D301" s="36" t="s">
        <v>14</v>
      </c>
      <c r="E301" s="35" t="s">
        <v>641</v>
      </c>
      <c r="F301" s="34" t="s">
        <v>1091</v>
      </c>
      <c r="G301" s="35"/>
      <c r="H301" s="4"/>
      <c r="I301" s="37" t="s">
        <v>38</v>
      </c>
    </row>
    <row r="302" spans="1:9" ht="64.95" customHeight="1" x14ac:dyDescent="0.3">
      <c r="A302" s="34" t="s">
        <v>1092</v>
      </c>
      <c r="B302" s="35" t="s">
        <v>1093</v>
      </c>
      <c r="C302" s="35" t="s">
        <v>1094</v>
      </c>
      <c r="D302" s="38" t="s">
        <v>18</v>
      </c>
      <c r="E302" s="35" t="s">
        <v>641</v>
      </c>
      <c r="F302" s="34" t="s">
        <v>781</v>
      </c>
      <c r="G302" s="35"/>
      <c r="H302" s="4"/>
      <c r="I302" s="39" t="s">
        <v>41</v>
      </c>
    </row>
    <row r="303" spans="1:9" ht="32.4" customHeight="1" x14ac:dyDescent="0.3">
      <c r="A303" s="34" t="s">
        <v>1095</v>
      </c>
      <c r="B303" s="35" t="s">
        <v>1093</v>
      </c>
      <c r="C303" s="35" t="s">
        <v>1096</v>
      </c>
      <c r="D303" s="36" t="s">
        <v>14</v>
      </c>
      <c r="E303" s="35" t="s">
        <v>1097</v>
      </c>
      <c r="F303" s="34" t="s">
        <v>626</v>
      </c>
      <c r="G303" s="35"/>
      <c r="H303" s="4"/>
      <c r="I303" s="37" t="s">
        <v>38</v>
      </c>
    </row>
    <row r="304" spans="1:9" ht="32.4" customHeight="1" x14ac:dyDescent="0.3">
      <c r="A304" s="34" t="s">
        <v>1098</v>
      </c>
      <c r="B304" s="35" t="s">
        <v>1099</v>
      </c>
      <c r="C304" s="35" t="s">
        <v>1100</v>
      </c>
      <c r="D304" s="38" t="s">
        <v>18</v>
      </c>
      <c r="E304" s="35" t="s">
        <v>641</v>
      </c>
      <c r="F304" s="34" t="s">
        <v>781</v>
      </c>
      <c r="G304" s="35"/>
      <c r="H304" s="4"/>
      <c r="I304" s="39" t="s">
        <v>41</v>
      </c>
    </row>
    <row r="305" spans="1:9" ht="64.95" customHeight="1" x14ac:dyDescent="0.3">
      <c r="A305" s="34" t="s">
        <v>1101</v>
      </c>
      <c r="B305" s="35" t="s">
        <v>1099</v>
      </c>
      <c r="C305" s="35" t="s">
        <v>1102</v>
      </c>
      <c r="D305" s="38" t="s">
        <v>18</v>
      </c>
      <c r="E305" s="35" t="s">
        <v>790</v>
      </c>
      <c r="F305" s="34" t="s">
        <v>1103</v>
      </c>
      <c r="G305" s="35"/>
      <c r="H305" s="4" t="s">
        <v>1079</v>
      </c>
      <c r="I305" s="39" t="s">
        <v>41</v>
      </c>
    </row>
    <row r="306" spans="1:9" ht="97.2" customHeight="1" x14ac:dyDescent="0.3">
      <c r="A306" s="34" t="s">
        <v>1104</v>
      </c>
      <c r="B306" s="35" t="s">
        <v>1105</v>
      </c>
      <c r="C306" s="35" t="s">
        <v>1106</v>
      </c>
      <c r="D306" s="34" t="s">
        <v>18</v>
      </c>
      <c r="E306" s="35" t="s">
        <v>893</v>
      </c>
      <c r="F306" s="34" t="s">
        <v>1107</v>
      </c>
      <c r="G306" s="35"/>
      <c r="H306" s="4"/>
      <c r="I306" s="37" t="s">
        <v>41</v>
      </c>
    </row>
    <row r="307" spans="1:9" ht="48.6" customHeight="1" x14ac:dyDescent="0.3">
      <c r="A307" s="34" t="s">
        <v>1108</v>
      </c>
      <c r="B307" s="35" t="s">
        <v>1105</v>
      </c>
      <c r="C307" s="35" t="s">
        <v>1109</v>
      </c>
      <c r="D307" s="34" t="s">
        <v>18</v>
      </c>
      <c r="E307" s="35" t="s">
        <v>641</v>
      </c>
      <c r="F307" s="34" t="s">
        <v>880</v>
      </c>
      <c r="G307" s="35"/>
      <c r="H307" s="4"/>
      <c r="I307" s="39" t="s">
        <v>41</v>
      </c>
    </row>
    <row r="308" spans="1:9" ht="48.6" customHeight="1" x14ac:dyDescent="0.3">
      <c r="A308" s="34" t="s">
        <v>1110</v>
      </c>
      <c r="B308" s="35" t="s">
        <v>1105</v>
      </c>
      <c r="C308" s="35" t="s">
        <v>1111</v>
      </c>
      <c r="D308" s="36" t="s">
        <v>14</v>
      </c>
      <c r="E308" s="35" t="s">
        <v>641</v>
      </c>
      <c r="F308" s="34" t="s">
        <v>174</v>
      </c>
      <c r="G308" s="35"/>
      <c r="H308" s="4"/>
      <c r="I308" s="37" t="s">
        <v>38</v>
      </c>
    </row>
    <row r="309" spans="1:9" ht="48.6" customHeight="1" x14ac:dyDescent="0.3">
      <c r="A309" s="34" t="s">
        <v>1112</v>
      </c>
      <c r="B309" s="35" t="s">
        <v>1113</v>
      </c>
      <c r="C309" s="35" t="s">
        <v>1114</v>
      </c>
      <c r="D309" s="36" t="s">
        <v>14</v>
      </c>
      <c r="E309" s="35" t="s">
        <v>893</v>
      </c>
      <c r="F309" s="34" t="s">
        <v>1115</v>
      </c>
      <c r="G309" s="35"/>
      <c r="H309" s="4"/>
      <c r="I309" s="37" t="s">
        <v>38</v>
      </c>
    </row>
    <row r="310" spans="1:9" ht="48.6" customHeight="1" x14ac:dyDescent="0.3">
      <c r="A310" s="34" t="s">
        <v>1116</v>
      </c>
      <c r="B310" s="35" t="s">
        <v>1113</v>
      </c>
      <c r="C310" s="35" t="s">
        <v>1117</v>
      </c>
      <c r="D310" s="34" t="s">
        <v>18</v>
      </c>
      <c r="E310" s="35" t="s">
        <v>1118</v>
      </c>
      <c r="F310" s="34" t="s">
        <v>618</v>
      </c>
      <c r="G310" s="35"/>
      <c r="H310" s="4"/>
      <c r="I310" s="39" t="s">
        <v>41</v>
      </c>
    </row>
    <row r="311" spans="1:9" ht="32.4" customHeight="1" x14ac:dyDescent="0.3">
      <c r="A311" s="34" t="s">
        <v>1119</v>
      </c>
      <c r="B311" s="35" t="s">
        <v>1113</v>
      </c>
      <c r="C311" s="35" t="s">
        <v>1120</v>
      </c>
      <c r="D311" s="38" t="s">
        <v>18</v>
      </c>
      <c r="E311" s="35" t="s">
        <v>641</v>
      </c>
      <c r="F311" s="34" t="s">
        <v>1115</v>
      </c>
      <c r="G311" s="35"/>
      <c r="H311" s="4" t="s">
        <v>1031</v>
      </c>
      <c r="I311" s="39" t="s">
        <v>41</v>
      </c>
    </row>
    <row r="312" spans="1:9" ht="64.95" customHeight="1" x14ac:dyDescent="0.3">
      <c r="A312" s="34" t="s">
        <v>1121</v>
      </c>
      <c r="B312" s="35" t="s">
        <v>1122</v>
      </c>
      <c r="C312" s="35" t="s">
        <v>1123</v>
      </c>
      <c r="D312" s="38" t="s">
        <v>18</v>
      </c>
      <c r="E312" s="35" t="s">
        <v>1124</v>
      </c>
      <c r="F312" s="34" t="s">
        <v>717</v>
      </c>
      <c r="G312" s="35"/>
      <c r="H312" s="4"/>
      <c r="I312" s="39" t="s">
        <v>41</v>
      </c>
    </row>
    <row r="313" spans="1:9" ht="97.2" customHeight="1" x14ac:dyDescent="0.3">
      <c r="A313" s="34" t="s">
        <v>1125</v>
      </c>
      <c r="B313" s="35" t="s">
        <v>599</v>
      </c>
      <c r="C313" s="35" t="s">
        <v>1126</v>
      </c>
      <c r="D313" s="34" t="s">
        <v>20</v>
      </c>
      <c r="E313" s="35" t="s">
        <v>893</v>
      </c>
      <c r="F313" s="34" t="s">
        <v>1008</v>
      </c>
      <c r="G313" s="35"/>
      <c r="H313" s="4"/>
      <c r="I313" s="39" t="s">
        <v>41</v>
      </c>
    </row>
    <row r="314" spans="1:9" ht="64.95" customHeight="1" x14ac:dyDescent="0.3">
      <c r="A314" s="34" t="s">
        <v>1127</v>
      </c>
      <c r="B314" s="35" t="s">
        <v>599</v>
      </c>
      <c r="C314" s="35" t="s">
        <v>1128</v>
      </c>
      <c r="D314" s="34" t="s">
        <v>18</v>
      </c>
      <c r="E314" s="35" t="s">
        <v>1118</v>
      </c>
      <c r="F314" s="34" t="s">
        <v>618</v>
      </c>
      <c r="G314" s="35"/>
      <c r="H314" s="4"/>
      <c r="I314" s="39" t="s">
        <v>41</v>
      </c>
    </row>
  </sheetData>
  <autoFilter ref="A5:I314" xr:uid="{00000000-0009-0000-0000-000001000000}">
    <sortState xmlns:xlrd2="http://schemas.microsoft.com/office/spreadsheetml/2017/richdata2" ref="A6:I167">
      <sortCondition ref="A5:A86"/>
    </sortState>
  </autoFilter>
  <mergeCells count="3">
    <mergeCell ref="C1:I1"/>
    <mergeCell ref="C3:I3"/>
    <mergeCell ref="C2:I2"/>
  </mergeCells>
  <conditionalFormatting sqref="D6:D314">
    <cfRule type="containsText" dxfId="4" priority="1" operator="containsText" text="Assumption">
      <formula>NOT(ISERROR(SEARCH("Assumption",D6)))</formula>
    </cfRule>
    <cfRule type="containsText" dxfId="3" priority="2" operator="containsText" text="Issue">
      <formula>NOT(ISERROR(SEARCH("Issue",D6)))</formula>
    </cfRule>
    <cfRule type="containsText" dxfId="2" priority="3" operator="containsText" text="clarification">
      <formula>NOT(ISERROR(SEARCH("clarification",D6)))</formula>
    </cfRule>
    <cfRule type="containsText" dxfId="1" priority="4" operator="containsText" text="Confirmed">
      <formula>NOT(ISERROR(SEARCH("Confirmed",D6)))</formula>
    </cfRule>
    <cfRule type="containsText" dxfId="0" priority="5" operator="containsText" text="Risk">
      <formula>NOT(ISERROR(SEARCH("Risk",D6)))</formula>
    </cfRule>
  </conditionalFormatting>
  <pageMargins left="0.75" right="0.75" top="1" bottom="1" header="0.511811023622047" footer="0.511811023622047"/>
  <pageSetup paperSize="9" fitToHeight="0" orientation="landscape" horizontalDpi="300" verticalDpi="300"/>
  <drawing r:id="rId1"/>
  <extLst>
    <ext xmlns:x14="http://schemas.microsoft.com/office/spreadsheetml/2009/9/main" uri="{CCE6A557-97BC-4b89-ADB6-D9C93CAAB3DF}">
      <x14:dataValidations xmlns:xm="http://schemas.microsoft.com/office/excel/2006/main" count="1">
        <x14:dataValidation type="list" allowBlank="1" errorTitle="Invalid status" error="Pick a status from the list" xr:uid="{00000000-0002-0000-0100-000000000000}">
          <x14:formula1>
            <xm:f>'Legend &amp; Guide'!$B$13:$B$18</xm:f>
          </x14:formula1>
          <xm:sqref>D6:D314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D0C4E"/>
  </sheetPr>
  <dimension ref="B2:G37"/>
  <sheetViews>
    <sheetView showGridLines="0" zoomScaleNormal="100" workbookViewId="0">
      <selection activeCell="C18" sqref="C18"/>
    </sheetView>
  </sheetViews>
  <sheetFormatPr defaultColWidth="8.6640625" defaultRowHeight="14.4" x14ac:dyDescent="0.3"/>
  <cols>
    <col min="1" max="1" width="3" customWidth="1"/>
    <col min="2" max="2" width="34" customWidth="1"/>
    <col min="3" max="4" width="12" customWidth="1"/>
    <col min="5" max="5" width="3" customWidth="1"/>
    <col min="6" max="6" width="34" customWidth="1"/>
    <col min="7" max="7" width="12" customWidth="1"/>
  </cols>
  <sheetData>
    <row r="2" spans="2:7" ht="17.25" customHeight="1" x14ac:dyDescent="0.7">
      <c r="B2" s="10" t="s">
        <v>1129</v>
      </c>
    </row>
    <row r="3" spans="2:7" ht="15" customHeight="1" x14ac:dyDescent="0.5">
      <c r="B3" s="11" t="s">
        <v>1130</v>
      </c>
    </row>
    <row r="5" spans="2:7" ht="15" customHeight="1" x14ac:dyDescent="0.55000000000000004">
      <c r="B5" s="12" t="s">
        <v>1131</v>
      </c>
      <c r="F5" s="12" t="s">
        <v>1132</v>
      </c>
    </row>
    <row r="6" spans="2:7" ht="15" customHeight="1" x14ac:dyDescent="0.55000000000000004">
      <c r="B6" s="13" t="s">
        <v>30</v>
      </c>
      <c r="C6" s="13" t="s">
        <v>1133</v>
      </c>
      <c r="D6" s="13" t="s">
        <v>41</v>
      </c>
      <c r="F6" s="13" t="s">
        <v>1134</v>
      </c>
      <c r="G6" s="13" t="s">
        <v>1135</v>
      </c>
    </row>
    <row r="7" spans="2:7" ht="15" customHeight="1" x14ac:dyDescent="0.5">
      <c r="B7" s="49" t="s">
        <v>14</v>
      </c>
      <c r="C7" s="14">
        <f>COUNTIF('Action Tracker'!$D$6:$D$387,$B7)</f>
        <v>99</v>
      </c>
      <c r="D7" s="14">
        <f>COUNTIFS('Action Tracker'!$D$6:$D$387,$B7,'Action Tracker'!$I$6:$I$387,"Open")</f>
        <v>0</v>
      </c>
      <c r="F7" s="14" t="str">
        <f t="array" ref="F7:F37">_xlfn._xlws.SORT(_xlfn.UNIQUE(_xlfn._xlws.FILTER('Action Tracker'!F6:F243, 'Action Tracker'!F6:F243&lt;&gt;"")))</f>
        <v xml:space="preserve"> C4i Plan &amp; Framework, Zone Operating Plan, Expo Site Oprerating Plan</v>
      </c>
      <c r="G7" s="14">
        <f t="array" ref="G7:G37">COUNTIFS('Action Tracker'!F6:F86,_xlfn.ANCHORARRAY( F7), 'Action Tracker'!I6:I86, "Open")</f>
        <v>0</v>
      </c>
    </row>
    <row r="8" spans="2:7" ht="15" customHeight="1" x14ac:dyDescent="0.5">
      <c r="B8" s="50" t="s">
        <v>16</v>
      </c>
      <c r="C8" s="14">
        <f>COUNTIF('Action Tracker'!$D$6:$D$387,$B8)</f>
        <v>11</v>
      </c>
      <c r="D8" s="14">
        <f>COUNTIFS('Action Tracker'!$D$6:$D$387,$B8,'Action Tracker'!$I$6:$I$387,"Open")</f>
        <v>3</v>
      </c>
      <c r="F8" s="14" t="str">
        <v>Accreditation Department Operating Plan, Workforce Department Operating Plan, Workforce Policy &amp; Procedure</v>
      </c>
      <c r="G8" s="14">
        <v>0</v>
      </c>
    </row>
    <row r="9" spans="2:7" ht="15" customHeight="1" x14ac:dyDescent="0.5">
      <c r="B9" s="51" t="s">
        <v>18</v>
      </c>
      <c r="C9" s="14">
        <f>COUNTIF('Action Tracker'!$D$6:$D$387,$B9)</f>
        <v>143</v>
      </c>
      <c r="D9" s="14">
        <f>COUNTIFS('Action Tracker'!$D$6:$D$387,$B9,'Action Tracker'!$I$6:$I$387,"Open")</f>
        <v>143</v>
      </c>
      <c r="F9" s="14" t="str">
        <v>Business Program Department Operating Plan, Zone Operating Plan</v>
      </c>
      <c r="G9" s="14">
        <v>1</v>
      </c>
    </row>
    <row r="10" spans="2:7" ht="15" customHeight="1" x14ac:dyDescent="0.5">
      <c r="B10" s="52" t="s">
        <v>20</v>
      </c>
      <c r="C10" s="14">
        <f>COUNTIF('Action Tracker'!$D$6:$D$387,$B10)</f>
        <v>45</v>
      </c>
      <c r="D10" s="14">
        <f>COUNTIFS('Action Tracker'!$D$6:$D$387,$B10,'Action Tracker'!$I$6:$I$387,"Open")</f>
        <v>45</v>
      </c>
      <c r="F10" s="14" t="str">
        <v>Business Programme Department Operating Plan</v>
      </c>
      <c r="G10" s="14">
        <v>0</v>
      </c>
    </row>
    <row r="11" spans="2:7" ht="15" customHeight="1" x14ac:dyDescent="0.5">
      <c r="B11" s="53" t="s">
        <v>22</v>
      </c>
      <c r="C11" s="14">
        <f>COUNTIF('Action Tracker'!$D$6:$D$387,$B11)</f>
        <v>9</v>
      </c>
      <c r="D11" s="14">
        <f>COUNTIFS('Action Tracker'!$D$6:$D$387,$B11,'Action Tracker'!$I$6:$I$387,"Open")</f>
        <v>9</v>
      </c>
      <c r="F11" s="14" t="str">
        <v>Business Programme Plan</v>
      </c>
      <c r="G11" s="14">
        <v>0</v>
      </c>
    </row>
    <row r="12" spans="2:7" ht="15" customHeight="1" x14ac:dyDescent="0.5">
      <c r="B12" s="15" t="s">
        <v>1136</v>
      </c>
      <c r="C12" s="15">
        <f>SUM(C7:C11)</f>
        <v>307</v>
      </c>
      <c r="D12" s="15">
        <f>SUM(D7:D11)</f>
        <v>200</v>
      </c>
      <c r="F12" s="14" t="str">
        <v>C&amp;P Ceremonies Department Operating Plan</v>
      </c>
      <c r="G12" s="14">
        <v>0</v>
      </c>
    </row>
    <row r="13" spans="2:7" ht="15" customHeight="1" x14ac:dyDescent="0.5">
      <c r="B13" s="15"/>
      <c r="C13" s="15"/>
      <c r="D13" s="15"/>
      <c r="F13" s="14" t="str">
        <v>C&amp;P Ceremonies Department Operating Plan, Protocol Department Operating Plan</v>
      </c>
      <c r="G13" s="14">
        <v>0</v>
      </c>
    </row>
    <row r="14" spans="2:7" ht="15" customHeight="1" x14ac:dyDescent="0.5">
      <c r="F14" s="14" t="str">
        <v>C&amp;P Ceremonies Department Operating Plan, Venue Operating Plan, Zone Operating Plan</v>
      </c>
      <c r="G14" s="14">
        <v>0</v>
      </c>
    </row>
    <row r="15" spans="2:7" ht="15" customHeight="1" x14ac:dyDescent="0.5">
      <c r="F15" s="14" t="str">
        <v>C4i ConOps</v>
      </c>
      <c r="G15" s="14">
        <v>0</v>
      </c>
    </row>
    <row r="16" spans="2:7" ht="15" customHeight="1" x14ac:dyDescent="0.5">
      <c r="F16" s="14" t="str">
        <v>Catering Department Operating Plan, Catering Policy &amp; Procedure, Workforce Policy &amp; Procedure, Volunteer Policy &amp; Procedure, Zone Operating Plan</v>
      </c>
      <c r="G16" s="14">
        <v>0</v>
      </c>
    </row>
    <row r="17" spans="6:7" ht="15" customHeight="1" x14ac:dyDescent="0.5">
      <c r="F17" s="14" t="str">
        <v>Catering Department Operating Plan, Catering Policy &amp; Procedure, Workforce Policy &amp; Procedure, Zone Operating Plan</v>
      </c>
      <c r="G17" s="14">
        <v>0</v>
      </c>
    </row>
    <row r="18" spans="6:7" ht="15" customHeight="1" x14ac:dyDescent="0.5">
      <c r="F18" s="14" t="str">
        <v>CAW Department Operating Plan, Guest Services Department Operating Plan</v>
      </c>
      <c r="G18" s="14">
        <v>1</v>
      </c>
    </row>
    <row r="19" spans="6:7" ht="15" customHeight="1" x14ac:dyDescent="0.5">
      <c r="F19" s="14" t="str">
        <v>CAW Department Operating Plan, Zone Operating Plan</v>
      </c>
      <c r="G19" s="14">
        <v>0</v>
      </c>
    </row>
    <row r="20" spans="6:7" ht="15" customHeight="1" x14ac:dyDescent="0.5">
      <c r="F20" s="14" t="str">
        <v>Ceremonies Department Operating Plan, Crowd Management Department Operating Plan, Venue Operating Plan, Zone Operating Plan, Expo Site Operating Plan</v>
      </c>
      <c r="G20" s="14">
        <v>0</v>
      </c>
    </row>
    <row r="21" spans="6:7" ht="15" customHeight="1" x14ac:dyDescent="0.5">
      <c r="F21" s="14" t="str">
        <v>Ceremonies Department Operating Plan, Protocol Department Operating Plan</v>
      </c>
      <c r="G21" s="14">
        <v>0</v>
      </c>
    </row>
    <row r="22" spans="6:7" ht="15" customHeight="1" x14ac:dyDescent="0.5">
      <c r="F22" s="14" t="str">
        <v>Ceremonies Department Operating Plan, Protocol Department Operating Plan, Crowd Management Department Operating Plan, Venue Operating Plan, Zone Operating Plan, Expo Site Operating Plan</v>
      </c>
      <c r="G22" s="14">
        <v>0</v>
      </c>
    </row>
    <row r="23" spans="6:7" ht="15" customHeight="1" x14ac:dyDescent="0.5">
      <c r="F23" s="14" t="str">
        <v>Ceremonies Department Operating Plan, Protocol Department Operating Plan, Venue Operating Plan, Zone Operating Plan</v>
      </c>
      <c r="G23" s="14">
        <v>0</v>
      </c>
    </row>
    <row r="24" spans="6:7" ht="15" customHeight="1" x14ac:dyDescent="0.5">
      <c r="F24" s="14" t="str">
        <v>Commercial Department Operating Plan, Commercial Policy &amp; Procedure</v>
      </c>
      <c r="G24" s="14">
        <v>2</v>
      </c>
    </row>
    <row r="25" spans="6:7" ht="16.95" customHeight="1" x14ac:dyDescent="0.5">
      <c r="F25" s="14" t="str">
        <v>Commercial Department Operating Plan, Venue Operating Plan, Zone Operating Plan</v>
      </c>
      <c r="G25" s="14">
        <v>0</v>
      </c>
    </row>
    <row r="26" spans="6:7" ht="16.95" customHeight="1" x14ac:dyDescent="0.5">
      <c r="F26" s="14" t="str">
        <v>Commercial Department Operating Plan, Zone Operating Plan</v>
      </c>
      <c r="G26" s="14">
        <v>1</v>
      </c>
    </row>
    <row r="27" spans="6:7" ht="16.95" customHeight="1" x14ac:dyDescent="0.5">
      <c r="F27" s="14" t="str">
        <v>Commercial Policy &amp; Procedure</v>
      </c>
      <c r="G27" s="14">
        <v>1</v>
      </c>
    </row>
    <row r="28" spans="6:7" ht="16.95" customHeight="1" x14ac:dyDescent="0.5">
      <c r="F28" s="14" t="str">
        <v>Content &amp; Programming Department Operating Plan, Content &amp; Programming Policy &amp; Procedure</v>
      </c>
      <c r="G28" s="14">
        <v>0</v>
      </c>
    </row>
    <row r="29" spans="6:7" ht="16.95" customHeight="1" x14ac:dyDescent="0.5">
      <c r="F29" s="14" t="str">
        <v xml:space="preserve">Content &amp; Programming Department Operating Plan, EMS, Zone Operating Plan, Expo Site Operating Plan, </v>
      </c>
      <c r="G29" s="14">
        <v>1</v>
      </c>
    </row>
    <row r="30" spans="6:7" ht="16.95" customHeight="1" x14ac:dyDescent="0.5">
      <c r="F30" s="14" t="str">
        <v>Crowd Management Department Operating Plan, Crowd Management Policy &amp; Procedure</v>
      </c>
      <c r="G30" s="14">
        <v>0</v>
      </c>
    </row>
    <row r="31" spans="6:7" ht="16.95" customHeight="1" x14ac:dyDescent="0.5">
      <c r="F31" s="14" t="str">
        <v>Crowd Management Department Operating Plan, Crowd Management Policy &amp; Procedure, Zone Operating Plan</v>
      </c>
      <c r="G31">
        <v>0</v>
      </c>
    </row>
    <row r="32" spans="6:7" x14ac:dyDescent="0.3">
      <c r="F32" t="str">
        <v>Crowd Management Department Operating Plan, Crowd Management Policy &amp; Procedure, Zone Operating Plan, Expo Site Operating Plan, C4i ConOps</v>
      </c>
      <c r="G32">
        <v>0</v>
      </c>
    </row>
    <row r="33" spans="6:7" x14ac:dyDescent="0.3">
      <c r="F33" t="str">
        <v>Crowd Management Department Operating Plan, Sports Department Operating Plan, Zone Operating Plan</v>
      </c>
      <c r="G33">
        <v>0</v>
      </c>
    </row>
    <row r="34" spans="6:7" x14ac:dyDescent="0.3">
      <c r="F34" t="str">
        <v>Crowd Management Department Operating Plan, Zone Operating Plan, Expo Site Operating Plan</v>
      </c>
      <c r="G34">
        <v>0</v>
      </c>
    </row>
    <row r="35" spans="6:7" x14ac:dyDescent="0.3">
      <c r="F35" t="str">
        <v>Crowd Management Operating Plan, Crowd Management Policy &amp; Procedure, Venue Operating Plans, Zone Operating Plan</v>
      </c>
      <c r="G35">
        <v>1</v>
      </c>
    </row>
    <row r="36" spans="6:7" x14ac:dyDescent="0.3">
      <c r="F36" t="str">
        <v>Cultural, Music &amp; Entertainment Department Operating Plan</v>
      </c>
      <c r="G36">
        <v>0</v>
      </c>
    </row>
    <row r="37" spans="6:7" x14ac:dyDescent="0.3">
      <c r="F37" t="str">
        <v>Cultural, Music &amp; Entertainment Department Operating Plan, Zone Operating Plan</v>
      </c>
      <c r="G37">
        <v>0</v>
      </c>
    </row>
  </sheetData>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74220f3-34e9-48c9-8c58-31faa72ff407">
      <Terms xmlns="http://schemas.microsoft.com/office/infopath/2007/PartnerControls"/>
    </lcf76f155ced4ddcb4097134ff3c332f>
    <TaxCatchAll xmlns="1b1ffb37-8927-4fbe-961f-c7a3199710b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0E7ACCEC0201D4097C2021E46ECE60A" ma:contentTypeVersion="12" ma:contentTypeDescription="Create a new document." ma:contentTypeScope="" ma:versionID="cf4a2642e5c99502294ccf1838849ab7">
  <xsd:schema xmlns:xsd="http://www.w3.org/2001/XMLSchema" xmlns:xs="http://www.w3.org/2001/XMLSchema" xmlns:p="http://schemas.microsoft.com/office/2006/metadata/properties" xmlns:ns2="374220f3-34e9-48c9-8c58-31faa72ff407" xmlns:ns3="1b1ffb37-8927-4fbe-961f-c7a3199710b9" targetNamespace="http://schemas.microsoft.com/office/2006/metadata/properties" ma:root="true" ma:fieldsID="db22d4e5c9e9253f9efc8049b9c96518" ns2:_="" ns3:_="">
    <xsd:import namespace="374220f3-34e9-48c9-8c58-31faa72ff407"/>
    <xsd:import namespace="1b1ffb37-8927-4fbe-961f-c7a3199710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4220f3-34e9-48c9-8c58-31faa72ff4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f540109-29d0-4261-bc1d-7a69fb9ddf0c"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b1ffb37-8927-4fbe-961f-c7a3199710b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2fab9a7-8f7c-4cd8-93fa-289e163ef8f0}" ma:internalName="TaxCatchAll" ma:showField="CatchAllData" ma:web="1b1ffb37-8927-4fbe-961f-c7a3199710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6439E8-84F1-42D1-8C84-9127261BCA0C}">
  <ds:schemaRefs>
    <ds:schemaRef ds:uri="http://schemas.microsoft.com/office/2006/documentManagement/types"/>
    <ds:schemaRef ds:uri="1b1ffb37-8927-4fbe-961f-c7a3199710b9"/>
    <ds:schemaRef ds:uri="http://purl.org/dc/terms/"/>
    <ds:schemaRef ds:uri="http://www.w3.org/XML/1998/namespace"/>
    <ds:schemaRef ds:uri="http://purl.org/dc/elements/1.1/"/>
    <ds:schemaRef ds:uri="http://schemas.microsoft.com/office/2006/metadata/properties"/>
    <ds:schemaRef ds:uri="374220f3-34e9-48c9-8c58-31faa72ff407"/>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575A629E-21CC-4AF5-BD8F-A4E6B4B4CA3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4220f3-34e9-48c9-8c58-31faa72ff407"/>
    <ds:schemaRef ds:uri="1b1ffb37-8927-4fbe-961f-c7a3199710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365100B-4C08-4A05-9DDA-C20D05B32AE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Legend &amp; Guide</vt:lpstr>
      <vt:lpstr>Action Tracker</vt:lpstr>
      <vt:lpstr>Summary</vt:lpstr>
      <vt:lpstr>'Action Tracker'!Print_Titles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Teymur Tahmazov</dc:creator>
  <cp:keywords/>
  <dc:description/>
  <cp:lastModifiedBy>Teymur Tahmazov</cp:lastModifiedBy>
  <cp:revision>0</cp:revision>
  <dcterms:created xsi:type="dcterms:W3CDTF">2026-07-15T10:10:57Z</dcterms:created>
  <dcterms:modified xsi:type="dcterms:W3CDTF">2026-08-12T09:09:29Z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0x01010000E7ACCEC0201D4097C2021E46ECE60A</vt:lpwstr>
  </property>
  <property fmtid="{D5CDD505-2E9C-101B-9397-08002B2CF9AE}" pid="3" name="MediaServiceImageTags">
    <vt:lpwstr/>
  </property>
</Properties>
</file>